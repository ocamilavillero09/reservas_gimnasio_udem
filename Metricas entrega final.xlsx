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5" activeTab="15" autoFilterDateGrouping="1"/>
  </bookViews>
  <sheets>
    <sheet xmlns:r="http://schemas.openxmlformats.org/officeDocument/2006/relationships" name="RF01 - Registro" sheetId="1" state="visible" r:id="rId1"/>
    <sheet xmlns:r="http://schemas.openxmlformats.org/officeDocument/2006/relationships" name="RF02 - Iniciar sesion" sheetId="2" state="visible" r:id="rId2"/>
    <sheet xmlns:r="http://schemas.openxmlformats.org/officeDocument/2006/relationships" name="RF03 - Perfil estudiante" sheetId="3" state="visible" r:id="rId3"/>
    <sheet xmlns:r="http://schemas.openxmlformats.org/officeDocument/2006/relationships" name="RF04 - Perfil entrenador" sheetId="4" state="visible" r:id="rId4"/>
    <sheet xmlns:r="http://schemas.openxmlformats.org/officeDocument/2006/relationships" name="RF05 - Perfil administrador" sheetId="5" state="visible" r:id="rId5"/>
    <sheet xmlns:r="http://schemas.openxmlformats.org/officeDocument/2006/relationships" name="RF06 - Bloques y cupos" sheetId="6" state="visible" r:id="rId6"/>
    <sheet xmlns:r="http://schemas.openxmlformats.org/officeDocument/2006/relationships" name="RF07 - Reservar" sheetId="7" state="visible" r:id="rId7"/>
    <sheet xmlns:r="http://schemas.openxmlformats.org/officeDocument/2006/relationships" name="RF08 - Mis reservas" sheetId="8" state="visible" r:id="rId8"/>
    <sheet xmlns:r="http://schemas.openxmlformats.org/officeDocument/2006/relationships" name="RF09 - Cancelar reserva" sheetId="9" state="visible" r:id="rId9"/>
    <sheet xmlns:r="http://schemas.openxmlformats.org/officeDocument/2006/relationships" name="RF10 - Buscar reserva" sheetId="10" state="visible" r:id="rId10"/>
    <sheet xmlns:r="http://schemas.openxmlformats.org/officeDocument/2006/relationships" name="RF11 - Registrar asistencia" sheetId="11" state="visible" r:id="rId11"/>
    <sheet xmlns:r="http://schemas.openxmlformats.org/officeDocument/2006/relationships" name="RF12 - Sin asistencia" sheetId="12" state="visible" r:id="rId12"/>
    <sheet xmlns:r="http://schemas.openxmlformats.org/officeDocument/2006/relationships" name="RF13 - Cerrar jornada" sheetId="13" state="visible" r:id="rId13"/>
    <sheet xmlns:r="http://schemas.openxmlformats.org/officeDocument/2006/relationships" name="RF14 - Historial" sheetId="14" state="visible" r:id="rId14"/>
    <sheet xmlns:r="http://schemas.openxmlformats.org/officeDocument/2006/relationships" name="RF15 - Reporte inasistencias" sheetId="15" state="visible" r:id="rId15"/>
    <sheet xmlns:r="http://schemas.openxmlformats.org/officeDocument/2006/relationships" name="RF16 - Registro diario" sheetId="16" state="visible" r:id="rId16"/>
    <sheet xmlns:r="http://schemas.openxmlformats.org/officeDocument/2006/relationships" name="RF20 - Reportar falla" sheetId="17" state="visible" r:id="rId17"/>
    <sheet xmlns:r="http://schemas.openxmlformats.org/officeDocument/2006/relationships" name="RF21 - Buzon" sheetId="18" state="visible" r:id="rId18"/>
    <sheet xmlns:r="http://schemas.openxmlformats.org/officeDocument/2006/relationships" name="Matriz de trazabilidad" sheetId="19" state="visible" r:id="rId19"/>
    <sheet xmlns:r="http://schemas.openxmlformats.org/officeDocument/2006/relationships" name="Trazabilidad requisitos-casos" sheetId="20" state="visible" r:id="rId20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12">
    <font>
      <name val="Calibri"/>
      <charset val="1"/>
      <family val="2"/>
      <color theme="1"/>
      <sz val="11"/>
    </font>
    <font>
      <name val="Calibri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sz val="13"/>
    </font>
    <font>
      <name val="Arial"/>
      <family val="2"/>
      <b val="1"/>
      <color theme="1"/>
      <sz val="13"/>
    </font>
    <font>
      <name val="Calibri"/>
      <charset val="1"/>
      <family val="2"/>
      <color rgb="FF000000"/>
      <sz val="11"/>
    </font>
    <font>
      <name val="Calibri"/>
      <family val="2"/>
      <i val="1"/>
      <color rgb="FF777777"/>
      <sz val="9"/>
    </font>
    <font>
      <name val="Arial"/>
      <charset val="1"/>
      <b val="1"/>
      <color rgb="FF000000"/>
      <sz val="13"/>
    </font>
    <font>
      <name val="Arial"/>
      <b val="1"/>
      <color rgb="FFFFFFFF"/>
      <sz val="10"/>
    </font>
    <font>
      <name val="Arial"/>
      <b val="1"/>
      <sz val="13"/>
    </font>
    <font>
      <name val="Calibri"/>
      <sz val="11"/>
      <scheme val="minor"/>
    </font>
    <font>
      <name val="Calibri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1A0C7"/>
        <bgColor rgb="FFC0C0C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5" fillId="0" borderId="2" applyAlignment="1" pivotButton="0" quotePrefix="0" xfId="0">
      <alignment wrapText="1"/>
    </xf>
    <xf numFmtId="0" fontId="5" fillId="0" borderId="2" applyAlignment="1" pivotButton="0" quotePrefix="1" xfId="0">
      <alignment wrapText="1"/>
    </xf>
    <xf numFmtId="0" fontId="0" fillId="0" borderId="2" pivotButton="0" quotePrefix="0" xfId="0"/>
    <xf numFmtId="0" fontId="0" fillId="3" borderId="2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7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 wrapText="1"/>
    </xf>
    <xf numFmtId="1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2" fontId="5" fillId="0" borderId="7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2" fontId="5" fillId="0" borderId="6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wrapText="1"/>
    </xf>
    <xf numFmtId="0" fontId="0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wrapText="1"/>
    </xf>
    <xf numFmtId="0" fontId="5" fillId="0" borderId="2" applyAlignment="1" pivotButton="0" quotePrefix="1" xfId="0">
      <alignment horizontal="center" wrapText="1"/>
    </xf>
    <xf numFmtId="0" fontId="5" fillId="0" borderId="7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5" fillId="0" borderId="6" applyAlignment="1" pivotButton="0" quotePrefix="0" xfId="0">
      <alignment horizontal="center" wrapText="1"/>
    </xf>
    <xf numFmtId="0" fontId="9" fillId="0" borderId="0" pivotButton="0" quotePrefix="0" xfId="0"/>
    <xf numFmtId="0" fontId="0" fillId="0" borderId="1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wrapText="1"/>
    </xf>
    <xf numFmtId="0" fontId="11" fillId="0" borderId="2" applyAlignment="1" pivotButton="0" quotePrefix="0" xfId="0">
      <alignment horizontal="center"/>
    </xf>
    <xf numFmtId="0" fontId="10" fillId="3" borderId="1" applyAlignment="1" pivotButton="0" quotePrefix="0" xfId="0">
      <alignment wrapText="1"/>
    </xf>
    <xf numFmtId="0" fontId="10" fillId="3" borderId="11" applyAlignment="1" pivotButton="0" quotePrefix="0" xfId="0">
      <alignment wrapText="1"/>
    </xf>
    <xf numFmtId="0" fontId="10" fillId="3" borderId="14" applyAlignment="1" pivotButton="0" quotePrefix="0" xfId="0">
      <alignment wrapText="1"/>
    </xf>
    <xf numFmtId="0" fontId="10" fillId="0" borderId="13" applyAlignment="1" pivotButton="0" quotePrefix="0" xfId="0">
      <alignment horizontal="center" wrapText="1"/>
    </xf>
    <xf numFmtId="0" fontId="10" fillId="0" borderId="2" applyAlignment="1" pivotButton="0" quotePrefix="0" xfId="0">
      <alignment horizontal="center" vertical="center" wrapText="1"/>
    </xf>
    <xf numFmtId="2" fontId="11" fillId="0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wrapText="1"/>
    </xf>
    <xf numFmtId="0" fontId="11" fillId="4" borderId="2" applyAlignment="1" pivotButton="0" quotePrefix="0" xfId="0">
      <alignment horizontal="center" vertical="center" wrapText="1"/>
    </xf>
    <xf numFmtId="10" fontId="11" fillId="4" borderId="2" applyAlignment="1" pivotButton="0" quotePrefix="0" xfId="0">
      <alignment horizontal="center" wrapText="1"/>
    </xf>
    <xf numFmtId="164" fontId="11" fillId="4" borderId="2" applyAlignment="1" pivotButton="0" quotePrefix="0" xfId="0">
      <alignment horizontal="center" wrapText="1"/>
    </xf>
    <xf numFmtId="164" fontId="10" fillId="0" borderId="2" applyAlignment="1" pivotButton="0" quotePrefix="0" xfId="0">
      <alignment horizontal="center" wrapText="1"/>
    </xf>
    <xf numFmtId="2" fontId="11" fillId="4" borderId="2" applyAlignment="1" pivotButton="0" quotePrefix="0" xfId="0">
      <alignment horizontal="center" wrapText="1"/>
    </xf>
    <xf numFmtId="2" fontId="1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 vertical="center" wrapText="1"/>
    </xf>
    <xf numFmtId="164" fontId="11" fillId="0" borderId="2" applyAlignment="1" pivotButton="0" quotePrefix="0" xfId="0">
      <alignment horizontal="center" wrapText="1"/>
    </xf>
    <xf numFmtId="10" fontId="11" fillId="0" borderId="2" applyAlignment="1" pivotButton="0" quotePrefix="0" xfId="0">
      <alignment horizontal="center" vertical="center" wrapText="1"/>
    </xf>
    <xf numFmtId="10" fontId="11" fillId="0" borderId="2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6" fillId="0" borderId="6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8" fillId="2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0" fillId="0" borderId="0" pivotButton="0" quotePrefix="0" xfId="0"/>
    <xf numFmtId="0" fontId="2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0" fontId="2" fillId="2" borderId="2" pivotButton="0" quotePrefix="0" xfId="0"/>
    <xf numFmtId="0" fontId="2" fillId="2" borderId="6" pivotButton="0" quotePrefix="0" xfId="0"/>
    <xf numFmtId="0" fontId="1" fillId="3" borderId="6" pivotButton="0" quotePrefix="0" xfId="0"/>
    <xf numFmtId="164" fontId="1" fillId="0" borderId="2" applyAlignment="1" pivotButton="0" quotePrefix="0" xfId="0">
      <alignment horizontal="center" vertical="center" wrapText="1"/>
    </xf>
    <xf numFmtId="10" fontId="1" fillId="0" borderId="2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15" pivotButton="0" quotePrefix="0" xfId="0"/>
    <xf numFmtId="0" fontId="0" fillId="0" borderId="16" pivotButton="0" quotePrefix="0" xfId="0"/>
    <xf numFmtId="0" fontId="10" fillId="0" borderId="2" applyAlignment="1" pivotButton="0" quotePrefix="0" xfId="0">
      <alignment vertical="top" wrapText="1"/>
    </xf>
    <xf numFmtId="10" fontId="10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9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CA3AF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RF01 - Registrar una cuenta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(9+1)+(4+1)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8 (registrar_cuenta) + 2 (role_for_email) = 10 (moderada)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(28/29)*100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1/(1+0)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1/0.123</f>
        <v/>
      </c>
      <c r="E14" t="inlineStr">
        <is>
          <t>H2 correo con dos arrobas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0.038499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86.98999999999999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0.4577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RF02 - Iniciar sesión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6+1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7 (moderada)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(17/17)*100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2/(2+0)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2/0.044</f>
        <v/>
      </c>
      <c r="E14" t="inlineStr">
        <is>
          <t>VUL-02 sesión sin credenciales; DEF-03 F5 cierra la sesión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0.040123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87.44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0.4713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RF03 - Consultar y actualizar mi perfil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10+1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19 (alta)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(29/29)*100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 t="inlineStr">
        <is>
          <t>N/A</t>
        </is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0/0.064</f>
        <v/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0.000561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54.4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0.4725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RF04 - Consultar el perfil del entrenador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(1+1)+(3+1)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1 (consultar_entrenador) + 3 (_perfil_de_rol) = 4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(15/15)*100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 t="inlineStr">
        <is>
          <t>N/A</t>
        </is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0/0.035</f>
        <v/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0.000553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53.81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0.4728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RF05 - Consultar el perfil del administrador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(1+1)+(3+1)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1 (consultar_administrador) + 3 (_perfil_de_rol) = 4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(17/17)*100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 t="inlineStr">
        <is>
          <t>N/A</t>
        </is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0/0.037</f>
        <v/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0.00055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53.3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0.4729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RF06 - Consultar los bloques horarios con sus cupos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3+1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3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(8/8)*100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 t="inlineStr">
        <is>
          <t>N/A</t>
        </is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0/0.032</f>
        <v/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0.00469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37.14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0.473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RF07 - Reservar un bloque para el día siguiente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11+1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12 (moderada)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(36/38)*100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 t="inlineStr">
        <is>
          <t>N/A</t>
        </is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0/0.147</f>
        <v/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0.00663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35.74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0.4739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RF08 - Consultar mis reservas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2+1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2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(6/6)*100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 t="inlineStr">
        <is>
          <t>N/A</t>
        </is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0/0.019</f>
        <v/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0.000679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48.79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0.4741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RF09 - Cancelar mi reserva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5+1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7 (moderada)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(15/18)*100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1/(1+0)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1/0.072</f>
        <v/>
      </c>
      <c r="E14" t="inlineStr">
        <is>
          <t>VUL-04 IDOR al cancelar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0.001114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37.5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0.4743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RF10 - Buscar la reserva de un estudiante por su documento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5+1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5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(15/16)*100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2/(2+0)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2/0.042</f>
        <v/>
      </c>
      <c r="E14" t="inlineStr">
        <is>
          <t>DCTO-01; DCTO-02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0.001663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40.99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0.4744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RF11 - Registrar la asistencia de un estudiante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8+1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12 (moderada)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(30/30)*100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1/(1+0)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1/0.071</f>
        <v/>
      </c>
      <c r="E14" t="inlineStr">
        <is>
          <t>VUL-01 registrar asistencia sin autenticación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0.001746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41.47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0.4748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RF12 - Consultar las reservas sin asistencia registrada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3+1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3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(12/12)*100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1/(1+0)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1/0.041</f>
        <v/>
      </c>
      <c r="E14" t="inlineStr">
        <is>
          <t>DEF-05 error tratado como lista vacía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0.001697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43.1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0.4749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RF13 - Procesar las inasistencias al cerrar la jornada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(14+1)+(3+1)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11 (procesar_inasistencia) + 3 (aplicar_inasistencia) = 14 (moderada)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(33/36)*100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2/(2+0)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2/0.099</f>
        <v/>
      </c>
      <c r="E14" t="inlineStr">
        <is>
          <t>DEF-01 cierre con fecha futura; VUL-01 cerrar jornada sin autenticación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0.002206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41.38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0.4749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RF14 - Ver mi historial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3+1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3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(12/12)*100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 t="inlineStr">
        <is>
          <t>N/A</t>
        </is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0/0.024</f>
        <v/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0.00069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47.69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0.4749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RF15 - Ver mi reporte de inasistencias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4+1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4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(11/11)*100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 t="inlineStr">
        <is>
          <t>N/A</t>
        </is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0/0.038</f>
        <v/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0.002057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38.36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0.475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RF16 - Ver el registro diario del gimnasio (entrenador)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(0+1)+(3+1)+(9+1)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0 (ver_registro_entrenador) + 2 (_registro_diario_para) + 19 (build_daily_report) = 21 (alta)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(30/30)*100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1/(1+0)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1/0.090</f>
        <v/>
      </c>
      <c r="E14" t="inlineStr">
        <is>
          <t>DEF-06 error mostrado como totales en cero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0.002606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38.75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0.4751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RF20 - Reportar una falla o enviar una sugerencia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6+1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5 (baja)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(17/17)*100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1/(1+0)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1/0.043</f>
        <v/>
      </c>
      <c r="E14" t="inlineStr">
        <is>
          <t>VUL-03 / DEF-02b mensajes a nombre de otro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0.001106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44.34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0.4754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8.7109375" defaultRowHeight="14.45"/>
  <cols>
    <col width="30" customWidth="1" style="81" min="1" max="2"/>
    <col width="34" customWidth="1" style="81" min="3" max="4"/>
  </cols>
  <sheetData>
    <row r="1" ht="16.9" customHeight="1" s="81">
      <c r="A1" s="66" t="inlineStr">
        <is>
          <t>RF21 - Consultar el buzón de sugerencias</t>
        </is>
      </c>
    </row>
    <row r="3" ht="15" customHeight="1" s="81"/>
    <row r="4" ht="15" customHeight="1" s="81">
      <c r="A4" s="19" t="inlineStr">
        <is>
          <t>Métrica</t>
        </is>
      </c>
      <c r="B4" s="19" t="inlineStr">
        <is>
          <t>Definición</t>
        </is>
      </c>
      <c r="C4" s="19" t="inlineStr">
        <is>
          <t>Fórmula</t>
        </is>
      </c>
      <c r="D4" s="19" t="inlineStr">
        <is>
          <t>Cálculo</t>
        </is>
      </c>
    </row>
    <row r="5" ht="14.45" customHeight="1" s="81">
      <c r="A5" s="70" t="inlineStr">
        <is>
          <t>Métricas Estructurales</t>
        </is>
      </c>
      <c r="B5" s="91" t="n"/>
      <c r="C5" s="91" t="n"/>
      <c r="D5" s="92" t="n"/>
    </row>
    <row r="6" ht="15" customHeight="1" s="81">
      <c r="A6" s="10" t="inlineStr">
        <is>
          <t>Complejidad ciclomática V(G)</t>
        </is>
      </c>
      <c r="B6" s="10" t="inlineStr">
        <is>
          <t>Mide las decisiones del código.</t>
        </is>
      </c>
      <c r="C6" s="10" t="inlineStr">
        <is>
          <t>V(G) = decisiones + 1</t>
        </is>
      </c>
      <c r="D6" s="10">
        <f>(4+1)+(5+1)</f>
        <v/>
      </c>
    </row>
    <row r="7" ht="60.75" customHeight="1" s="81">
      <c r="A7" s="11" t="inlineStr">
        <is>
          <t>Complejidad cognitiva</t>
        </is>
      </c>
      <c r="B7" s="11" t="inlineStr">
        <is>
          <t>Dificultad de comprensión humana del código (no cuenta caminos, sino esfuerzo de lectura).</t>
        </is>
      </c>
      <c r="C7" s="12" t="inlineStr">
        <is>
          <t>+1 por decisión; +1 por cada secuencia de operador lógico distinto en una condición compuesta</t>
        </is>
      </c>
      <c r="D7" s="11" t="inlineStr">
        <is>
          <t>3 (consultar_buzon) + 4 (eliminar_sugerencia) = 7 (moderada)</t>
        </is>
      </c>
    </row>
    <row r="8" ht="15" customHeight="1" s="81">
      <c r="A8" s="20" t="n"/>
      <c r="B8" s="20" t="n"/>
      <c r="C8" s="20" t="n"/>
      <c r="D8" s="20" t="n"/>
    </row>
    <row r="9" ht="15" customHeight="1" s="81">
      <c r="A9" s="70" t="inlineStr">
        <is>
          <t>Métricas de Pruebas</t>
        </is>
      </c>
      <c r="B9" s="91" t="n"/>
      <c r="C9" s="91" t="n"/>
      <c r="D9" s="92" t="n"/>
    </row>
    <row r="10" ht="45.75" customHeight="1" s="81">
      <c r="A10" s="13" t="inlineStr">
        <is>
          <t xml:space="preserve">Cobertura de código </t>
        </is>
      </c>
      <c r="B10" s="11" t="inlineStr">
        <is>
          <t>Porcentaje de elementos del código ejecutados por las pruebas.</t>
        </is>
      </c>
      <c r="C10" s="11" t="inlineStr">
        <is>
          <t>Cobertura = Elementos ejecutados / Elementos totales × 100</t>
        </is>
      </c>
      <c r="D10" s="11">
        <f>(19/19)*100</f>
        <v/>
      </c>
    </row>
    <row r="11" ht="45.75" customHeight="1" s="81">
      <c r="A11" s="11" t="inlineStr">
        <is>
          <t>Eficacia de la eliminación de defectos (EED)</t>
        </is>
      </c>
      <c r="B11" s="14" t="inlineStr">
        <is>
          <t>Relación entre errores detectados antes de la entrega y detectados por usuarios después.</t>
        </is>
      </c>
      <c r="C11" s="14" t="inlineStr">
        <is>
          <t>EED = E / (E + D)</t>
        </is>
      </c>
      <c r="D11" s="14">
        <f>3/(3+0)</f>
        <v/>
      </c>
    </row>
    <row r="12" ht="15" customHeight="1" s="81">
      <c r="A12" s="64" t="n"/>
      <c r="B12" s="93" t="n"/>
      <c r="C12" s="93" t="n"/>
      <c r="D12" s="94" t="n"/>
    </row>
    <row r="13" ht="15" customHeight="1" s="81">
      <c r="A13" s="65" t="inlineStr">
        <is>
          <t>Métricas de Calidad del Producto (ISO 25010)</t>
        </is>
      </c>
      <c r="B13" s="93" t="n"/>
      <c r="C13" s="93" t="n"/>
      <c r="D13" s="94" t="n"/>
    </row>
    <row r="14" ht="30.75" customHeight="1" s="81">
      <c r="A14" s="14" t="inlineStr">
        <is>
          <t>Densidad de fallos  ·  Fiabilidad</t>
        </is>
      </c>
      <c r="B14" s="14" t="inlineStr">
        <is>
          <t>Defectos encontrados por cada 1000 líneas de código (KLoC).</t>
        </is>
      </c>
      <c r="C14" s="14" t="inlineStr">
        <is>
          <t>Densidad = Nº defectos / Total de líneas de código (KLoC)</t>
        </is>
      </c>
      <c r="D14" s="16">
        <f>3/0.055</f>
        <v/>
      </c>
      <c r="E14" t="inlineStr">
        <is>
          <t>VUL-01 / DEF-02 buzón sin autenticación; DEF-04 hora en UTC; DEF-07 error tratado como buzón vacío</t>
        </is>
      </c>
    </row>
    <row r="15" ht="30.75" customHeight="1" s="81">
      <c r="A15" s="18" t="inlineStr">
        <is>
          <t>Tiempo de respuesta  ·  Eficiencia de Desempeño</t>
        </is>
      </c>
      <c r="B15" s="18" t="inlineStr">
        <is>
          <t>Tiempo que tarda el endpoint en responder a una solicitud.</t>
        </is>
      </c>
      <c r="C15" s="25" t="inlineStr">
        <is>
          <t>Tiempo de respuesta = Tiempo de finalización − Tiempo de inicio</t>
        </is>
      </c>
      <c r="D15" s="29" t="n">
        <v>0.001617</v>
      </c>
      <c r="E15" t="inlineStr">
        <is>
          <t>segundos (promedio de 20 peticiones)</t>
        </is>
      </c>
    </row>
    <row r="16" ht="45.75" customHeight="1" s="81">
      <c r="A16" s="11" t="inlineStr">
        <is>
          <t>Uso de CPU / Memoria  ·  Eficiencia de Desempeño</t>
        </is>
      </c>
      <c r="B16" s="11" t="inlineStr">
        <is>
          <t>Recursos de cómputo consumidos por el proceso durante la ejecución.</t>
        </is>
      </c>
      <c r="C16" s="11" t="inlineStr">
        <is>
          <t xml:space="preserve">Uso CPU = (Tiempo CPU / Tiempo total) × 100  </t>
        </is>
      </c>
      <c r="D16" s="28" t="n">
        <v>40.7</v>
      </c>
      <c r="E16" t="inlineStr">
        <is>
          <t>%</t>
        </is>
      </c>
    </row>
    <row r="17" ht="45.75" customHeight="1" s="81">
      <c r="A17" s="11" t="inlineStr">
        <is>
          <t>Uso de CPU / Memoria  ·  Eficiencia de Desempeño</t>
        </is>
      </c>
      <c r="B17" s="11" t="inlineStr">
        <is>
          <t>Recursos de cómputo consumidos por el proceso durante la ejecución.</t>
        </is>
      </c>
      <c r="C17" s="17" t="inlineStr">
        <is>
          <t>Uso Memoria = (Memoria usada / Memoria total) × 100</t>
        </is>
      </c>
      <c r="D17" s="37" t="n">
        <v>0.4754</v>
      </c>
      <c r="E17" t="inlineStr">
        <is>
          <t>%</t>
        </is>
      </c>
    </row>
    <row r="19" ht="15" customHeight="1" s="81"/>
    <row r="20" ht="15" customHeight="1" s="81"/>
    <row r="21" ht="15" customHeight="1" s="81"/>
    <row r="22" ht="15" customHeight="1" s="81"/>
    <row r="23" ht="15" customHeight="1" s="81"/>
  </sheetData>
  <mergeCells count="5">
    <mergeCell ref="A1:D1"/>
    <mergeCell ref="A5:D5"/>
    <mergeCell ref="A9:D9"/>
    <mergeCell ref="A12:D12"/>
    <mergeCell ref="A13:D13"/>
  </mergeCells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workbookViewId="0">
      <selection activeCell="F14" sqref="F14"/>
    </sheetView>
  </sheetViews>
  <sheetFormatPr baseColWidth="8" defaultRowHeight="15"/>
  <cols>
    <col width="14" customWidth="1" style="81" min="1" max="1"/>
    <col width="79.28515625" bestFit="1" customWidth="1" style="81" min="2" max="2"/>
    <col width="19.85546875" customWidth="1" style="81" min="3" max="3"/>
    <col width="20.140625" customWidth="1" style="81" min="4" max="4"/>
    <col width="19.7109375" customWidth="1" style="81" min="5" max="5"/>
    <col width="27.7109375" customWidth="1" style="81" min="6" max="6"/>
    <col width="23.5703125" customWidth="1" style="81" min="7" max="7"/>
    <col width="20.5703125" customWidth="1" style="81" min="8" max="8"/>
    <col width="13.85546875" customWidth="1" style="81" min="9" max="9"/>
  </cols>
  <sheetData>
    <row r="1" ht="16.5" customHeight="1" s="81">
      <c r="A1" s="39" t="inlineStr">
        <is>
          <t>Matriz de trazabilidad y cobertura estructural</t>
        </is>
      </c>
      <c r="B1" s="39" t="n"/>
      <c r="C1" s="39" t="n"/>
      <c r="D1" s="3" t="n"/>
      <c r="E1" s="3" t="n"/>
      <c r="F1" s="3" t="n"/>
      <c r="G1" s="3" t="n"/>
      <c r="H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 ht="33.75" customHeight="1" s="81">
      <c r="A3" s="43" t="inlineStr">
        <is>
          <t>Requisito</t>
        </is>
      </c>
      <c r="B3" s="44" t="inlineStr">
        <is>
          <t>Funcionalidad</t>
        </is>
      </c>
      <c r="C3" s="45" t="inlineStr">
        <is>
          <t>V(G) (complejidad ciclomática)</t>
        </is>
      </c>
      <c r="D3" s="87" t="inlineStr">
        <is>
          <t>Cobertura estructural (sentencias)</t>
        </is>
      </c>
      <c r="E3" s="44" t="inlineStr">
        <is>
          <t>Densidad de defectos</t>
        </is>
      </c>
      <c r="F3" s="44" t="inlineStr">
        <is>
          <t>EED</t>
        </is>
      </c>
      <c r="G3" s="44" t="inlineStr">
        <is>
          <t>Tiempo de respuesta (s)</t>
        </is>
      </c>
      <c r="H3" s="44" t="inlineStr">
        <is>
          <t>Uso CPU</t>
        </is>
      </c>
      <c r="I3" s="44" t="inlineStr">
        <is>
          <t>Uso Memoria</t>
        </is>
      </c>
    </row>
    <row r="4">
      <c r="A4" s="46" t="inlineStr">
        <is>
          <t>RF01</t>
        </is>
      </c>
      <c r="B4" s="95" t="inlineStr">
        <is>
          <t>Registrar una cuenta</t>
        </is>
      </c>
      <c r="C4" s="41" t="n">
        <v>15</v>
      </c>
      <c r="D4" s="96" t="n">
        <v>0.9655172413793104</v>
      </c>
      <c r="E4" s="48" t="n">
        <v>8.130081300813009</v>
      </c>
      <c r="F4" s="41" t="n">
        <v>1</v>
      </c>
      <c r="G4" s="97" t="n">
        <v>0.03849911669999999</v>
      </c>
      <c r="H4" s="58" t="n">
        <v>0.8699010177550374</v>
      </c>
      <c r="I4" s="89" t="n">
        <v>0.004576683044433594</v>
      </c>
    </row>
    <row r="5">
      <c r="A5" s="46" t="inlineStr">
        <is>
          <t>RF02</t>
        </is>
      </c>
      <c r="B5" s="95" t="inlineStr">
        <is>
          <t>Iniciar sesión</t>
        </is>
      </c>
      <c r="C5" s="41" t="n">
        <v>7</v>
      </c>
      <c r="D5" s="96" t="n">
        <v>1</v>
      </c>
      <c r="E5" s="48" t="n">
        <v>45.45454545454546</v>
      </c>
      <c r="F5" s="41" t="n">
        <v>1</v>
      </c>
      <c r="G5" s="97" t="n">
        <v>0.04012318324999996</v>
      </c>
      <c r="H5" s="58" t="n">
        <v>0.8743643040834737</v>
      </c>
      <c r="I5" s="89" t="n">
        <v>0.004713058471679688</v>
      </c>
    </row>
    <row r="6">
      <c r="A6" s="46" t="inlineStr">
        <is>
          <t>RF03</t>
        </is>
      </c>
      <c r="B6" s="95" t="inlineStr">
        <is>
          <t>Consultar y actualizar mi perfil</t>
        </is>
      </c>
      <c r="C6" s="41" t="n">
        <v>11</v>
      </c>
      <c r="D6" s="96" t="n">
        <v>1</v>
      </c>
      <c r="E6" s="48" t="n">
        <v>0</v>
      </c>
      <c r="F6" s="41" t="inlineStr">
        <is>
          <t>N/A</t>
        </is>
      </c>
      <c r="G6" s="97" t="n">
        <v>0.0005607603499999892</v>
      </c>
      <c r="H6" s="58" t="n">
        <v>0.5440170654004873</v>
      </c>
      <c r="I6" s="89" t="n">
        <v>0.004725456237792969</v>
      </c>
    </row>
    <row r="7">
      <c r="A7" s="46" t="inlineStr">
        <is>
          <t>RF04</t>
        </is>
      </c>
      <c r="B7" s="95" t="inlineStr">
        <is>
          <t>Consultar el perfil del entrenador</t>
        </is>
      </c>
      <c r="C7" s="41" t="n">
        <v>6</v>
      </c>
      <c r="D7" s="96" t="n">
        <v>1</v>
      </c>
      <c r="E7" s="48" t="n">
        <v>0</v>
      </c>
      <c r="F7" s="41" t="inlineStr">
        <is>
          <t>N/A</t>
        </is>
      </c>
      <c r="G7" s="97" t="n">
        <v>0.0005530958500000072</v>
      </c>
      <c r="H7" s="58" t="n">
        <v>0.5380637008937647</v>
      </c>
      <c r="I7" s="89" t="n">
        <v>0.004728317260742188</v>
      </c>
    </row>
    <row r="8">
      <c r="A8" s="46" t="inlineStr">
        <is>
          <t>RF05</t>
        </is>
      </c>
      <c r="B8" s="95" t="inlineStr">
        <is>
          <t>Consultar el perfil del administrador</t>
        </is>
      </c>
      <c r="C8" s="41" t="n">
        <v>6</v>
      </c>
      <c r="D8" s="96" t="n">
        <v>1</v>
      </c>
      <c r="E8" s="48" t="n">
        <v>0</v>
      </c>
      <c r="F8" s="41" t="inlineStr">
        <is>
          <t>N/A</t>
        </is>
      </c>
      <c r="G8" s="97" t="n">
        <v>0.0005499187000000072</v>
      </c>
      <c r="H8" s="58" t="n">
        <v>0.5330373380647502</v>
      </c>
      <c r="I8" s="89" t="n">
        <v>0.004729270935058594</v>
      </c>
    </row>
    <row r="9">
      <c r="A9" s="46" t="inlineStr">
        <is>
          <t>RF06</t>
        </is>
      </c>
      <c r="B9" s="95" t="inlineStr">
        <is>
          <t>Consultar los bloques horarios con sus cupos</t>
        </is>
      </c>
      <c r="C9" s="41" t="n">
        <v>4</v>
      </c>
      <c r="D9" s="96" t="n">
        <v>1</v>
      </c>
      <c r="E9" s="48" t="n">
        <v>0</v>
      </c>
      <c r="F9" s="41" t="inlineStr">
        <is>
          <t>N/A</t>
        </is>
      </c>
      <c r="G9" s="97" t="n">
        <v>0.00468987925000004</v>
      </c>
      <c r="H9" s="58" t="n">
        <v>0.3713560855538038</v>
      </c>
      <c r="I9" s="89" t="n">
        <v>0.004730224609375</v>
      </c>
    </row>
    <row r="10">
      <c r="A10" s="46" t="inlineStr">
        <is>
          <t>RF07</t>
        </is>
      </c>
      <c r="B10" s="95" t="inlineStr">
        <is>
          <t>Reservar un bloque para el día siguiente</t>
        </is>
      </c>
      <c r="C10" s="41" t="n">
        <v>12</v>
      </c>
      <c r="D10" s="96" t="n">
        <v>0.9473684210526315</v>
      </c>
      <c r="E10" s="48" t="n">
        <v>0</v>
      </c>
      <c r="F10" s="41" t="inlineStr">
        <is>
          <t>N/A</t>
        </is>
      </c>
      <c r="G10" s="97" t="n">
        <v>0.006629670850000014</v>
      </c>
      <c r="H10" s="58" t="n">
        <v>0.3573987387322568</v>
      </c>
      <c r="I10" s="89" t="n">
        <v>0.004738807678222656</v>
      </c>
    </row>
    <row r="11">
      <c r="A11" s="46" t="inlineStr">
        <is>
          <t>RF08</t>
        </is>
      </c>
      <c r="B11" s="95" t="inlineStr">
        <is>
          <t>Consultar mis reservas</t>
        </is>
      </c>
      <c r="C11" s="41" t="n">
        <v>3</v>
      </c>
      <c r="D11" s="96" t="n">
        <v>1</v>
      </c>
      <c r="E11" s="48" t="n">
        <v>0</v>
      </c>
      <c r="F11" s="41" t="inlineStr">
        <is>
          <t>N/A</t>
        </is>
      </c>
      <c r="G11" s="97" t="n">
        <v>0.0006791667999999973</v>
      </c>
      <c r="H11" s="58" t="n">
        <v>0.4878565913411272</v>
      </c>
      <c r="I11" s="89" t="n">
        <v>0.004740715026855469</v>
      </c>
    </row>
    <row r="12">
      <c r="A12" s="46" t="inlineStr">
        <is>
          <t>RF09</t>
        </is>
      </c>
      <c r="B12" s="95" t="inlineStr">
        <is>
          <t>Cancelar mi reserva</t>
        </is>
      </c>
      <c r="C12" s="41" t="n">
        <v>6</v>
      </c>
      <c r="D12" s="96" t="n">
        <v>0.8333333333333334</v>
      </c>
      <c r="E12" s="48" t="n">
        <v>13.88888888888889</v>
      </c>
      <c r="F12" s="41" t="n">
        <v>1</v>
      </c>
      <c r="G12" s="97" t="n">
        <v>0.001113866649999906</v>
      </c>
      <c r="H12" s="58" t="n">
        <v>0.3749648128886073</v>
      </c>
      <c r="I12" s="89" t="n">
        <v>0.004742622375488281</v>
      </c>
    </row>
    <row r="13">
      <c r="A13" s="46" t="inlineStr">
        <is>
          <t>RF10</t>
        </is>
      </c>
      <c r="B13" s="95" t="inlineStr">
        <is>
          <t>Buscar la reserva de un estudiante por su documento</t>
        </is>
      </c>
      <c r="C13" s="41" t="n">
        <v>6</v>
      </c>
      <c r="D13" s="96" t="n">
        <v>0.9375</v>
      </c>
      <c r="E13" s="48" t="n">
        <v>47.61904761904761</v>
      </c>
      <c r="F13" s="41" t="n">
        <v>1</v>
      </c>
      <c r="G13" s="97" t="n">
        <v>0.001663031300000006</v>
      </c>
      <c r="H13" s="58" t="n">
        <v>0.4099487484089626</v>
      </c>
      <c r="I13" s="89" t="n">
        <v>0.004743576049804688</v>
      </c>
    </row>
    <row r="14">
      <c r="A14" s="46" t="inlineStr">
        <is>
          <t>RF11</t>
        </is>
      </c>
      <c r="B14" s="95" t="inlineStr">
        <is>
          <t>Registrar la asistencia de un estudiante</t>
        </is>
      </c>
      <c r="C14" s="41" t="n">
        <v>9</v>
      </c>
      <c r="D14" s="96" t="n">
        <v>1</v>
      </c>
      <c r="E14" s="48" t="n">
        <v>14.08450704225352</v>
      </c>
      <c r="F14" s="41" t="n">
        <v>1</v>
      </c>
      <c r="G14" s="97" t="n">
        <v>0.001746483349999917</v>
      </c>
      <c r="H14" s="58" t="n">
        <v>0.4147479562287885</v>
      </c>
      <c r="I14" s="89" t="n">
        <v>0.004748344421386719</v>
      </c>
    </row>
    <row r="15">
      <c r="A15" s="46" t="inlineStr">
        <is>
          <t>RF12</t>
        </is>
      </c>
      <c r="B15" s="95" t="inlineStr">
        <is>
          <t>Consultar las reservas sin asistencia registrada</t>
        </is>
      </c>
      <c r="C15" s="41" t="n">
        <v>4</v>
      </c>
      <c r="D15" s="96" t="n">
        <v>1</v>
      </c>
      <c r="E15" s="48" t="n">
        <v>24.39024390243902</v>
      </c>
      <c r="F15" s="41" t="n">
        <v>1</v>
      </c>
      <c r="G15" s="97" t="n">
        <v>0.001696581299999966</v>
      </c>
      <c r="H15" s="58" t="n">
        <v>0.4309555928737363</v>
      </c>
      <c r="I15" s="89" t="n">
        <v>0.004749298095703125</v>
      </c>
    </row>
    <row r="16">
      <c r="A16" s="46" t="inlineStr">
        <is>
          <t>RF13</t>
        </is>
      </c>
      <c r="B16" s="95" t="inlineStr">
        <is>
          <t>Procesar las inasistencias al cerrar la jornada</t>
        </is>
      </c>
      <c r="C16" s="41" t="n">
        <v>19</v>
      </c>
      <c r="D16" s="96" t="n">
        <v>0.9166666666666666</v>
      </c>
      <c r="E16" s="48" t="n">
        <v>20.2020202020202</v>
      </c>
      <c r="F16" s="41" t="n">
        <v>1</v>
      </c>
      <c r="G16" s="97" t="n">
        <v>0.002206220899999933</v>
      </c>
      <c r="H16" s="58" t="n">
        <v>0.413838886214906</v>
      </c>
      <c r="I16" s="89" t="n">
        <v>0.004749298095703125</v>
      </c>
    </row>
    <row r="17">
      <c r="A17" s="46" t="inlineStr">
        <is>
          <t>RF14</t>
        </is>
      </c>
      <c r="B17" s="95" t="inlineStr">
        <is>
          <t>Ver mi historial</t>
        </is>
      </c>
      <c r="C17" s="41" t="n">
        <v>4</v>
      </c>
      <c r="D17" s="96" t="n">
        <v>1</v>
      </c>
      <c r="E17" s="48" t="n">
        <v>0</v>
      </c>
      <c r="F17" s="41" t="inlineStr">
        <is>
          <t>N/A</t>
        </is>
      </c>
      <c r="G17" s="97" t="n">
        <v>0.0006896521000000266</v>
      </c>
      <c r="H17" s="58" t="n">
        <v>0.4768827645127244</v>
      </c>
      <c r="I17" s="89" t="n">
        <v>0.004749298095703125</v>
      </c>
    </row>
    <row r="18">
      <c r="A18" s="46" t="inlineStr">
        <is>
          <t>RF15</t>
        </is>
      </c>
      <c r="B18" s="95" t="inlineStr">
        <is>
          <t>Ver mi reporte de inasistencias</t>
        </is>
      </c>
      <c r="C18" s="41" t="n">
        <v>5</v>
      </c>
      <c r="D18" s="96" t="n">
        <v>1</v>
      </c>
      <c r="E18" s="48" t="n">
        <v>0</v>
      </c>
      <c r="F18" s="41" t="inlineStr">
        <is>
          <t>N/A</t>
        </is>
      </c>
      <c r="G18" s="97" t="n">
        <v>0.00205685194999996</v>
      </c>
      <c r="H18" s="58" t="n">
        <v>0.3836324729157173</v>
      </c>
      <c r="I18" s="89" t="n">
        <v>0.004750251770019531</v>
      </c>
    </row>
    <row r="19">
      <c r="A19" s="46" t="inlineStr">
        <is>
          <t>RF16</t>
        </is>
      </c>
      <c r="B19" s="95" t="inlineStr">
        <is>
          <t>Ver el registro diario del gimnasio (entrenador)</t>
        </is>
      </c>
      <c r="C19" s="41" t="n">
        <v>15</v>
      </c>
      <c r="D19" s="96" t="n">
        <v>1</v>
      </c>
      <c r="E19" s="48" t="n">
        <v>11.11111111111111</v>
      </c>
      <c r="F19" s="41" t="n">
        <v>1</v>
      </c>
      <c r="G19" s="97" t="n">
        <v>0.002606156199999954</v>
      </c>
      <c r="H19" s="58" t="n">
        <v>0.3874905118887783</v>
      </c>
      <c r="I19" s="89" t="n">
        <v>0.004751205444335938</v>
      </c>
    </row>
    <row r="20">
      <c r="A20" s="46" t="inlineStr">
        <is>
          <t>RF20</t>
        </is>
      </c>
      <c r="B20" s="95" t="inlineStr">
        <is>
          <t>Reportar una falla o enviar una sugerencia</t>
        </is>
      </c>
      <c r="C20" s="41" t="n">
        <v>7</v>
      </c>
      <c r="D20" s="96" t="n">
        <v>1</v>
      </c>
      <c r="E20" s="48" t="n">
        <v>23.25581395348837</v>
      </c>
      <c r="F20" s="41" t="n">
        <v>1</v>
      </c>
      <c r="G20" s="97" t="n">
        <v>0.001106404149999962</v>
      </c>
      <c r="H20" s="58" t="n">
        <v>0.4434256686402204</v>
      </c>
      <c r="I20" s="89" t="n">
        <v>0.004754066467285156</v>
      </c>
    </row>
    <row r="21">
      <c r="A21" s="46" t="inlineStr">
        <is>
          <t>RF21</t>
        </is>
      </c>
      <c r="B21" s="95" t="inlineStr">
        <is>
          <t>Consultar el buzón de sugerencias</t>
        </is>
      </c>
      <c r="C21" s="41" t="n">
        <v>11</v>
      </c>
      <c r="D21" s="96" t="n">
        <v>1</v>
      </c>
      <c r="E21" s="48" t="n">
        <v>54.54545454545455</v>
      </c>
      <c r="F21" s="41" t="n">
        <v>1</v>
      </c>
      <c r="G21" s="97" t="n">
        <v>0.00161658640000002</v>
      </c>
      <c r="H21" s="58" t="n">
        <v>0.4070072993020342</v>
      </c>
      <c r="I21" s="89" t="n">
        <v>0.004754066467285156</v>
      </c>
    </row>
    <row r="22">
      <c r="C22">
        <f>AVERAGE(C4:C21)</f>
        <v/>
      </c>
      <c r="D22" s="98">
        <f>AVERAGE(D4:D21)</f>
        <v/>
      </c>
      <c r="E22" s="99">
        <f>AVERAGE(E4:E21)</f>
        <v/>
      </c>
      <c r="F22">
        <f>AVERAGE(F4:F21)</f>
        <v/>
      </c>
      <c r="G22" s="100">
        <f>AVERAGE(G4:G21)</f>
        <v/>
      </c>
      <c r="H22" s="98">
        <f>AVERAGE(H4:H21)</f>
        <v/>
      </c>
      <c r="I22" s="98">
        <f>AVERAGE(I4:I21)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style="81" min="1" max="1"/>
    <col width="34" customWidth="1" style="81" min="2" max="2"/>
    <col width="18" customWidth="1" style="81" min="3" max="3"/>
    <col width="18" customWidth="1" style="81" min="4" max="4"/>
    <col width="30" customWidth="1" style="81" min="5" max="5"/>
    <col width="34" customWidth="1" style="81" min="6" max="6"/>
    <col width="18" customWidth="1" style="81" min="7" max="7"/>
    <col width="48" customWidth="1" style="81" min="8" max="8"/>
    <col width="40" customWidth="1" style="81" min="9" max="9"/>
    <col width="42" customWidth="1" style="81" min="10" max="10"/>
    <col width="30" customWidth="1" style="81" min="11" max="11"/>
    <col width="40" customWidth="1" style="81" min="12" max="12"/>
  </cols>
  <sheetData>
    <row r="1">
      <c r="A1" s="39" t="inlineStr">
        <is>
          <t>Matriz de trazabilidad: requisitos, casos y pruebas</t>
        </is>
      </c>
    </row>
    <row r="3">
      <c r="A3" s="43" t="inlineStr">
        <is>
          <t>Requisito</t>
        </is>
      </c>
      <c r="B3" s="43" t="inlineStr">
        <is>
          <t>Funcionalidad</t>
        </is>
      </c>
      <c r="C3" s="43" t="inlineStr">
        <is>
          <t>Reglas de negocio</t>
        </is>
      </c>
      <c r="D3" s="43" t="inlineStr">
        <is>
          <t>Responsable</t>
        </is>
      </c>
      <c r="E3" s="43" t="inlineStr">
        <is>
          <t>Escenarios (EP)</t>
        </is>
      </c>
      <c r="F3" s="43" t="inlineStr">
        <is>
          <t>Casos de prueba (CP)</t>
        </is>
      </c>
      <c r="G3" s="43" t="inlineStr">
        <is>
          <t>Estado de los casos</t>
        </is>
      </c>
      <c r="H3" s="43" t="inlineStr">
        <is>
          <t>Cypress</t>
        </is>
      </c>
      <c r="I3" s="43" t="inlineStr">
        <is>
          <t>Screenplay + Gherkin</t>
        </is>
      </c>
      <c r="J3" s="43" t="inlineStr">
        <is>
          <t>Unitarias (Django / Vitest)</t>
        </is>
      </c>
      <c r="K3" s="43" t="inlineStr">
        <is>
          <t>Stagehand</t>
        </is>
      </c>
      <c r="L3" s="43" t="inlineStr">
        <is>
          <t>Defectos encontrados</t>
        </is>
      </c>
    </row>
    <row r="4">
      <c r="A4" s="95" t="inlineStr">
        <is>
          <t>RF01</t>
        </is>
      </c>
      <c r="B4" s="95" t="inlineStr">
        <is>
          <t>Registrar una cuenta</t>
        </is>
      </c>
      <c r="C4" s="95" t="inlineStr">
        <is>
          <t>RN01, RN02</t>
        </is>
      </c>
      <c r="D4" s="95" t="inlineStr">
        <is>
          <t>Violeta Agudelo</t>
        </is>
      </c>
      <c r="E4" s="95" t="inlineStr">
        <is>
          <t>EP01-01, EP01-02</t>
        </is>
      </c>
      <c r="F4" s="95" t="inlineStr">
        <is>
          <t>CP01-1, CP01-2, CP01-3, CP01-4, CP01-5, CP01-6, CP01-7, CP01-8, CP01-9, CP01-10</t>
        </is>
      </c>
      <c r="G4" s="95" t="inlineStr">
        <is>
          <t>0 probados, 10 pendientes</t>
        </is>
      </c>
      <c r="H4" s="95" t="inlineStr">
        <is>
          <t>violeta/rf01_registro.cy.js</t>
        </is>
      </c>
      <c r="I4" s="95" t="inlineStr">
        <is>
          <t>violeta-e2e.feature @rf01 (2); screenpy test_violeta_e2e.py</t>
        </is>
      </c>
      <c r="J4" s="95" t="inlineStr">
        <is>
          <t>test_violeta.py, test_api_violeta.py, test_seguridad_violeta.py / login.test.jsx, profileView.test.jsx</t>
        </is>
      </c>
      <c r="K4" s="95" t="inlineStr">
        <is>
          <t>Por completar</t>
        </is>
      </c>
      <c r="L4" s="95" t="inlineStr">
        <is>
          <t>H2 correo con dos arrobas</t>
        </is>
      </c>
    </row>
    <row r="5">
      <c r="A5" s="95" t="inlineStr">
        <is>
          <t>RF02</t>
        </is>
      </c>
      <c r="B5" s="95" t="inlineStr">
        <is>
          <t>Iniciar sesión</t>
        </is>
      </c>
      <c r="C5" s="95" t="inlineStr">
        <is>
          <t>RN02, RN09</t>
        </is>
      </c>
      <c r="D5" s="95" t="inlineStr">
        <is>
          <t>Violeta Agudelo</t>
        </is>
      </c>
      <c r="E5" s="95" t="inlineStr">
        <is>
          <t>EP02-01, EP02-02</t>
        </is>
      </c>
      <c r="F5" s="95" t="inlineStr">
        <is>
          <t>CP02-1, CP02-2, CP02-3, CP02-4, CP02-5, CP02-6, CP02-7, CP02-8</t>
        </is>
      </c>
      <c r="G5" s="95" t="inlineStr">
        <is>
          <t>0 probados, 8 pendientes</t>
        </is>
      </c>
      <c r="H5" s="95" t="inlineStr">
        <is>
          <t>violeta/rf02_login.cy.js; componente Login.cy.jsx</t>
        </is>
      </c>
      <c r="I5" s="95" t="inlineStr">
        <is>
          <t>violeta-e2e.feature @rf02 (2); screenpy test_violeta_e2e.py</t>
        </is>
      </c>
      <c r="J5" s="95" t="inlineStr">
        <is>
          <t>test_violeta.py, test_api_violeta.py, test_seguridad_violeta.py / login.test.jsx, profileView.test.jsx</t>
        </is>
      </c>
      <c r="K5" s="95" t="inlineStr">
        <is>
          <t>Por completar</t>
        </is>
      </c>
      <c r="L5" s="95" t="inlineStr">
        <is>
          <t>VUL-02 sesión sin credenciales; DEF-03 F5 cierra la sesión</t>
        </is>
      </c>
    </row>
    <row r="6">
      <c r="A6" s="95" t="inlineStr">
        <is>
          <t>RF03</t>
        </is>
      </c>
      <c r="B6" s="95" t="inlineStr">
        <is>
          <t>Consultar y actualizar mi perfil</t>
        </is>
      </c>
      <c r="C6" s="95" t="inlineStr">
        <is>
          <t>—</t>
        </is>
      </c>
      <c r="D6" s="95" t="inlineStr">
        <is>
          <t>Violeta Agudelo</t>
        </is>
      </c>
      <c r="E6" s="95" t="inlineStr">
        <is>
          <t>EP03-01, EP03-02, EP03-03</t>
        </is>
      </c>
      <c r="F6" s="95" t="inlineStr">
        <is>
          <t>CP03-1, CP03-2, CP03-3, CP03-4, CP03-5</t>
        </is>
      </c>
      <c r="G6" s="95" t="inlineStr">
        <is>
          <t>0 probados, 5 pendientes</t>
        </is>
      </c>
      <c r="H6" s="95" t="inlineStr">
        <is>
          <t>violeta/rf03_perfil_estudiante.cy.js</t>
        </is>
      </c>
      <c r="I6" s="95" t="inlineStr">
        <is>
          <t>violeta-e2e.feature @rf03 (2); screenpy test_violeta_e2e.py</t>
        </is>
      </c>
      <c r="J6" s="95" t="inlineStr">
        <is>
          <t>test_violeta.py, test_api_violeta.py, test_seguridad_violeta.py / login.test.jsx, profileView.test.jsx</t>
        </is>
      </c>
      <c r="K6" s="95" t="inlineStr">
        <is>
          <t>Por completar</t>
        </is>
      </c>
      <c r="L6" s="95" t="inlineStr">
        <is>
          <t>Ninguno</t>
        </is>
      </c>
    </row>
    <row r="7">
      <c r="A7" s="95" t="inlineStr">
        <is>
          <t>RF04</t>
        </is>
      </c>
      <c r="B7" s="95" t="inlineStr">
        <is>
          <t>Consultar el perfil del entrenador</t>
        </is>
      </c>
      <c r="C7" s="95" t="inlineStr">
        <is>
          <t>—</t>
        </is>
      </c>
      <c r="D7" s="95" t="inlineStr">
        <is>
          <t>Violeta Agudelo</t>
        </is>
      </c>
      <c r="E7" s="95" t="inlineStr">
        <is>
          <t>EP04-01</t>
        </is>
      </c>
      <c r="F7" s="95" t="inlineStr">
        <is>
          <t>CP04-1</t>
        </is>
      </c>
      <c r="G7" s="95" t="inlineStr">
        <is>
          <t>0 probados, 1 pendientes</t>
        </is>
      </c>
      <c r="H7" s="95" t="inlineStr">
        <is>
          <t>violeta/rf04_perfil_entrenador.cy.js</t>
        </is>
      </c>
      <c r="I7" s="95" t="inlineStr">
        <is>
          <t>violeta-e2e.feature @rf04 (2); screenpy test_violeta_e2e.py</t>
        </is>
      </c>
      <c r="J7" s="95" t="inlineStr">
        <is>
          <t>test_violeta.py, test_api_violeta.py, test_seguridad_violeta.py / login.test.jsx, profileView.test.jsx</t>
        </is>
      </c>
      <c r="K7" s="95" t="inlineStr">
        <is>
          <t>Por completar</t>
        </is>
      </c>
      <c r="L7" s="95" t="inlineStr">
        <is>
          <t>Ninguno</t>
        </is>
      </c>
    </row>
    <row r="8">
      <c r="A8" s="95" t="inlineStr">
        <is>
          <t>RF05</t>
        </is>
      </c>
      <c r="B8" s="95" t="inlineStr">
        <is>
          <t>Consultar el perfil del administrador</t>
        </is>
      </c>
      <c r="C8" s="95" t="inlineStr">
        <is>
          <t>—</t>
        </is>
      </c>
      <c r="D8" s="95" t="inlineStr">
        <is>
          <t>Violeta Agudelo</t>
        </is>
      </c>
      <c r="E8" s="95" t="inlineStr">
        <is>
          <t>EP05-01</t>
        </is>
      </c>
      <c r="F8" s="95" t="inlineStr">
        <is>
          <t>CP05-1, CP05-2</t>
        </is>
      </c>
      <c r="G8" s="95" t="inlineStr">
        <is>
          <t>0 probados, 2 pendientes</t>
        </is>
      </c>
      <c r="H8" s="95" t="inlineStr">
        <is>
          <t>violeta/rf05_perfil_administrador.cy.js</t>
        </is>
      </c>
      <c r="I8" s="95" t="inlineStr">
        <is>
          <t>violeta-e2e.feature @rf05 (2); screenpy test_violeta_e2e.py</t>
        </is>
      </c>
      <c r="J8" s="95" t="inlineStr">
        <is>
          <t>test_violeta.py, test_api_violeta.py, test_seguridad_violeta.py / login.test.jsx, profileView.test.jsx</t>
        </is>
      </c>
      <c r="K8" s="95" t="inlineStr">
        <is>
          <t>Por completar</t>
        </is>
      </c>
      <c r="L8" s="95" t="inlineStr">
        <is>
          <t>Ninguno</t>
        </is>
      </c>
    </row>
    <row r="9">
      <c r="A9" s="95" t="inlineStr">
        <is>
          <t>RF06</t>
        </is>
      </c>
      <c r="B9" s="95" t="inlineStr">
        <is>
          <t>Consultar los bloques horarios con sus cupos</t>
        </is>
      </c>
      <c r="C9" s="95" t="inlineStr">
        <is>
          <t>RN03, RN04, RN10</t>
        </is>
      </c>
      <c r="D9" s="95" t="inlineStr">
        <is>
          <t>Sebastián García</t>
        </is>
      </c>
      <c r="E9" s="95" t="inlineStr">
        <is>
          <t>EP06-01</t>
        </is>
      </c>
      <c r="F9" s="95" t="inlineStr">
        <is>
          <t>CP06-1, CP06-2, CP06-3</t>
        </is>
      </c>
      <c r="G9" s="95" t="inlineStr">
        <is>
          <t>3 probados, 0 pendientes</t>
        </is>
      </c>
      <c r="H9" s="95" t="inlineStr">
        <is>
          <t>sebas/rf06_horarios.cy.js; rf06_horarios_front.cy.js</t>
        </is>
      </c>
      <c r="I9" s="95" t="inlineStr">
        <is>
          <t>gym-slots.feature RF06_C1–C2; screenpy test_gym_slots.py</t>
        </is>
      </c>
      <c r="J9" s="95" t="inlineStr">
        <is>
          <t>test_sebas.py / reservas.test.jsx</t>
        </is>
      </c>
      <c r="K9" s="95" t="inlineStr">
        <is>
          <t>Por completar</t>
        </is>
      </c>
      <c r="L9" s="95" t="inlineStr">
        <is>
          <t>Ninguno</t>
        </is>
      </c>
    </row>
    <row r="10">
      <c r="A10" s="95" t="inlineStr">
        <is>
          <t>RF07</t>
        </is>
      </c>
      <c r="B10" s="95" t="inlineStr">
        <is>
          <t>Reservar un bloque para el día siguiente</t>
        </is>
      </c>
      <c r="C10" s="95" t="inlineStr">
        <is>
          <t>RN04, RN05, RN06, RN09, RN10</t>
        </is>
      </c>
      <c r="D10" s="95" t="inlineStr">
        <is>
          <t>Sebastián García</t>
        </is>
      </c>
      <c r="E10" s="95" t="inlineStr">
        <is>
          <t>EP07-01</t>
        </is>
      </c>
      <c r="F10" s="95" t="inlineStr">
        <is>
          <t>CP07-1, CP07-2, CP07-3</t>
        </is>
      </c>
      <c r="G10" s="95" t="inlineStr">
        <is>
          <t>3 probados, 0 pendientes</t>
        </is>
      </c>
      <c r="H10" s="95" t="inlineStr">
        <is>
          <t>sebas/rf07_reservas.cy.js; rf07_reservas_front.cy.js</t>
        </is>
      </c>
      <c r="I10" s="95" t="inlineStr">
        <is>
          <t>gym-slots.feature RF07_C1–C9; screenpy test_gym_slots.py</t>
        </is>
      </c>
      <c r="J10" s="95" t="inlineStr">
        <is>
          <t>test_sebas.py / reservas.test.jsx</t>
        </is>
      </c>
      <c r="K10" s="95" t="inlineStr">
        <is>
          <t>Por completar</t>
        </is>
      </c>
      <c r="L10" s="95" t="inlineStr">
        <is>
          <t>Ninguno</t>
        </is>
      </c>
    </row>
    <row r="11">
      <c r="A11" s="95" t="inlineStr">
        <is>
          <t>RF08</t>
        </is>
      </c>
      <c r="B11" s="95" t="inlineStr">
        <is>
          <t>Consultar mis reservas</t>
        </is>
      </c>
      <c r="C11" s="95" t="inlineStr">
        <is>
          <t>—</t>
        </is>
      </c>
      <c r="D11" s="95" t="inlineStr">
        <is>
          <t>Sebastián García</t>
        </is>
      </c>
      <c r="E11" s="95" t="inlineStr">
        <is>
          <t>EP08-01, EP08-02</t>
        </is>
      </c>
      <c r="F11" s="95" t="inlineStr">
        <is>
          <t>CP08-1, CP08-2</t>
        </is>
      </c>
      <c r="G11" s="95" t="inlineStr">
        <is>
          <t>2 probados, 0 pendientes</t>
        </is>
      </c>
      <c r="H11" s="95" t="inlineStr">
        <is>
          <t>sebas/rf08_consultar_reservas.cy.js; rf08_consultar_reservas_front.cy.js</t>
        </is>
      </c>
      <c r="I11" s="95" t="inlineStr">
        <is>
          <t>gym-slots.feature RF08_C1–C2; screenpy test_gym_slots.py</t>
        </is>
      </c>
      <c r="J11" s="95" t="inlineStr">
        <is>
          <t>test_sebas.py / reservas.test.jsx</t>
        </is>
      </c>
      <c r="K11" s="95" t="inlineStr">
        <is>
          <t>Por completar</t>
        </is>
      </c>
      <c r="L11" s="95" t="inlineStr">
        <is>
          <t>Ninguno</t>
        </is>
      </c>
    </row>
    <row r="12">
      <c r="A12" s="95" t="inlineStr">
        <is>
          <t>RF09</t>
        </is>
      </c>
      <c r="B12" s="95" t="inlineStr">
        <is>
          <t>Cancelar mi reserva</t>
        </is>
      </c>
      <c r="C12" s="95" t="inlineStr">
        <is>
          <t>RN07, RN11</t>
        </is>
      </c>
      <c r="D12" s="95" t="inlineStr">
        <is>
          <t>Sebastián García</t>
        </is>
      </c>
      <c r="E12" s="95" t="inlineStr">
        <is>
          <t>EP09-01</t>
        </is>
      </c>
      <c r="F12" s="95" t="inlineStr">
        <is>
          <t>CP09-1</t>
        </is>
      </c>
      <c r="G12" s="95" t="inlineStr">
        <is>
          <t>1 probados, 0 pendientes</t>
        </is>
      </c>
      <c r="H12" s="95" t="inlineStr">
        <is>
          <t>sebas/rf09_cancelar_reservas.cy.js; rf09_cancelar_reservas_front.cy.js; seguridad/vulnerabilidades.cy.js (VUL-04)</t>
        </is>
      </c>
      <c r="I12" s="95" t="inlineStr">
        <is>
          <t>gym-slots.feature RF09_C1–C4; screenpy test_gym_slots.py</t>
        </is>
      </c>
      <c r="J12" s="95" t="inlineStr">
        <is>
          <t>test_sebas.py / reservas.test.jsx</t>
        </is>
      </c>
      <c r="K12" s="95" t="inlineStr">
        <is>
          <t>Por completar</t>
        </is>
      </c>
      <c r="L12" s="95" t="inlineStr">
        <is>
          <t>VUL-04 IDOR al cancelar</t>
        </is>
      </c>
    </row>
    <row r="13">
      <c r="A13" s="95" t="inlineStr">
        <is>
          <t>RF10</t>
        </is>
      </c>
      <c r="B13" s="95" t="inlineStr">
        <is>
          <t>Buscar la reserva de un estudiante por su documento</t>
        </is>
      </c>
      <c r="C13" s="95" t="inlineStr">
        <is>
          <t>RN02, RN12</t>
        </is>
      </c>
      <c r="D13" s="95" t="inlineStr">
        <is>
          <t>Sebastián García</t>
        </is>
      </c>
      <c r="E13" s="95" t="inlineStr">
        <is>
          <t>EP10-01</t>
        </is>
      </c>
      <c r="F13" s="95" t="inlineStr">
        <is>
          <t>CP10-1, CP10-2, CP10-3, CP10-4, CP10-5</t>
        </is>
      </c>
      <c r="G13" s="95" t="inlineStr">
        <is>
          <t>5 probados, 0 pendientes</t>
        </is>
      </c>
      <c r="H13" s="95" t="inlineStr">
        <is>
          <t>sebas/rf10_buscar_reserva.cy.js; rf10_buscar_reserva_front.cy.js</t>
        </is>
      </c>
      <c r="I13" s="95" t="inlineStr">
        <is>
          <t>gym-slots.feature RF10_C1–C4; screenpy test_gym_slots.py</t>
        </is>
      </c>
      <c r="J13" s="95" t="inlineStr">
        <is>
          <t>test_sebas.py / reservas.test.jsx</t>
        </is>
      </c>
      <c r="K13" s="95" t="inlineStr">
        <is>
          <t>Por completar</t>
        </is>
      </c>
      <c r="L13" s="95" t="inlineStr">
        <is>
          <t>DCTO-01; DCTO-02</t>
        </is>
      </c>
    </row>
    <row r="14">
      <c r="A14" s="95" t="inlineStr">
        <is>
          <t>RF11</t>
        </is>
      </c>
      <c r="B14" s="95" t="inlineStr">
        <is>
          <t>Registrar la asistencia de un estudiante</t>
        </is>
      </c>
      <c r="C14" s="95" t="inlineStr">
        <is>
          <t>RN03, RN12</t>
        </is>
      </c>
      <c r="D14" s="95" t="inlineStr">
        <is>
          <t>Camila Villero</t>
        </is>
      </c>
      <c r="E14" s="95" t="inlineStr">
        <is>
          <t>EP11-01, EP11-02, EP11-03, EP11-04, EP11-05</t>
        </is>
      </c>
      <c r="F14" s="95" t="inlineStr">
        <is>
          <t>CP11-1, CP11-2, CP11-3, CP11-4, CP11-5, CP11-6, CP11-7</t>
        </is>
      </c>
      <c r="G14" s="95" t="inlineStr">
        <is>
          <t>0 probados, 7 pendientes</t>
        </is>
      </c>
      <c r="H14" s="95" t="inlineStr">
        <is>
          <t>api/rf11_registrar_asistencia.cy.js; ui/panel_entrenador.cy.js; componente TrainerPanel.cy.jsx; seguridad/vulnerabilidades.cy.js (VUL-01)</t>
        </is>
      </c>
      <c r="I14" s="95" t="inlineStr">
        <is>
          <t>camila-e2e.feature @rf11 (3)</t>
        </is>
      </c>
      <c r="J14" s="95" t="inlineStr">
        <is>
          <t>test_camila.py / camila.test.jsx, adminPanel.test.jsx, api.test.js</t>
        </is>
      </c>
      <c r="K14" s="95" t="inlineStr">
        <is>
          <t>SH-RF12-RF11, SH-RF11-02 (escritas, sin ejecutar)</t>
        </is>
      </c>
      <c r="L14" s="95" t="inlineStr">
        <is>
          <t>VUL-01 registrar asistencia sin autenticación</t>
        </is>
      </c>
    </row>
    <row r="15">
      <c r="A15" s="95" t="inlineStr">
        <is>
          <t>RF12</t>
        </is>
      </c>
      <c r="B15" s="95" t="inlineStr">
        <is>
          <t>Consultar las reservas sin asistencia registrada</t>
        </is>
      </c>
      <c r="C15" s="95" t="inlineStr">
        <is>
          <t>RN08</t>
        </is>
      </c>
      <c r="D15" s="95" t="inlineStr">
        <is>
          <t>Camila Villero</t>
        </is>
      </c>
      <c r="E15" s="95" t="inlineStr">
        <is>
          <t>EP12-01, EP12-02, EP12-03</t>
        </is>
      </c>
      <c r="F15" s="95" t="inlineStr">
        <is>
          <t>CP12-1, CP12-2, CP12-3, CP12-4</t>
        </is>
      </c>
      <c r="G15" s="95" t="inlineStr">
        <is>
          <t>0 probados, 4 pendientes</t>
        </is>
      </c>
      <c r="H15" s="95" t="inlineStr">
        <is>
          <t>api/rf12_reservas_pendientes.cy.js; ui/panel_entrenador.cy.js; componente TrainerPanel.cy.jsx; componente defectos/interfaz.cy.jsx (DEF-05)</t>
        </is>
      </c>
      <c r="I15" s="95" t="inlineStr">
        <is>
          <t>camila-e2e.feature @rf12 (3)</t>
        </is>
      </c>
      <c r="J15" s="95" t="inlineStr">
        <is>
          <t>test_camila.py / camila.test.jsx, adminPanel.test.jsx, api.test.js</t>
        </is>
      </c>
      <c r="K15" s="95" t="inlineStr">
        <is>
          <t>SH-RF12-RF11 (escrita, sin ejecutar)</t>
        </is>
      </c>
      <c r="L15" s="95" t="inlineStr">
        <is>
          <t>DEF-05 error tratado como lista vacía</t>
        </is>
      </c>
    </row>
    <row r="16">
      <c r="A16" s="95" t="inlineStr">
        <is>
          <t>RF13</t>
        </is>
      </c>
      <c r="B16" s="95" t="inlineStr">
        <is>
          <t>Procesar las inasistencias al cerrar la jornada</t>
        </is>
      </c>
      <c r="C16" s="95" t="inlineStr">
        <is>
          <t>RN08, RN09</t>
        </is>
      </c>
      <c r="D16" s="95" t="inlineStr">
        <is>
          <t>Camila Villero</t>
        </is>
      </c>
      <c r="E16" s="95" t="inlineStr">
        <is>
          <t>EP13-01, EP13-02, EP13-03, EP13-04</t>
        </is>
      </c>
      <c r="F16" s="95" t="inlineStr">
        <is>
          <t>CP13-1, CP13-2, CP13-3, CP13-4, CP13-5</t>
        </is>
      </c>
      <c r="G16" s="95" t="inlineStr">
        <is>
          <t>0 probados, 5 pendientes</t>
        </is>
      </c>
      <c r="H16" s="95" t="inlineStr">
        <is>
          <t>api/rf13_procesar_inasistencias.cy.js; ui/panel_entrenador.cy.js; componente TrainerPanel.cy.jsx; defectos/defectos.cy.js (DEF-01)</t>
        </is>
      </c>
      <c r="I16" s="95" t="inlineStr">
        <is>
          <t>camila-e2e.feature @rf13 (3)</t>
        </is>
      </c>
      <c r="J16" s="95" t="inlineStr">
        <is>
          <t>test_camila.py / camila.test.jsx, adminPanel.test.jsx, api.test.js</t>
        </is>
      </c>
      <c r="K16" s="95" t="inlineStr">
        <is>
          <t>SH-RF13 (escrita, sin ejecutar)</t>
        </is>
      </c>
      <c r="L16" s="95" t="inlineStr">
        <is>
          <t>DEF-01 cierre con fecha futura; VUL-01 cerrar jornada sin autenticación</t>
        </is>
      </c>
    </row>
    <row r="17">
      <c r="A17" s="95" t="inlineStr">
        <is>
          <t>RF14</t>
        </is>
      </c>
      <c r="B17" s="95" t="inlineStr">
        <is>
          <t>Ver mi historial</t>
        </is>
      </c>
      <c r="C17" s="95" t="inlineStr">
        <is>
          <t>—</t>
        </is>
      </c>
      <c r="D17" s="95" t="inlineStr">
        <is>
          <t>Sebastián García</t>
        </is>
      </c>
      <c r="E17" s="95" t="inlineStr">
        <is>
          <t>EP14-01</t>
        </is>
      </c>
      <c r="F17" s="95" t="inlineStr">
        <is>
          <t>CP14-1</t>
        </is>
      </c>
      <c r="G17" s="95" t="inlineStr">
        <is>
          <t>1 probados, 0 pendientes</t>
        </is>
      </c>
      <c r="H17" s="95" t="inlineStr">
        <is>
          <t>sebas/rf14_historial_reservas.cy.js; rf14_historial_reservas_front.cy.js</t>
        </is>
      </c>
      <c r="I17" s="95" t="inlineStr">
        <is>
          <t>gym-slots.feature RF14_C1–C3; screenpy test_gym_slots.py</t>
        </is>
      </c>
      <c r="J17" s="95" t="inlineStr">
        <is>
          <t>test_sebas.py / reservas.test.jsx</t>
        </is>
      </c>
      <c r="K17" s="95" t="inlineStr">
        <is>
          <t>Por completar</t>
        </is>
      </c>
      <c r="L17" s="95" t="inlineStr">
        <is>
          <t>Ninguno</t>
        </is>
      </c>
    </row>
    <row r="18">
      <c r="A18" s="95" t="inlineStr">
        <is>
          <t>RF15</t>
        </is>
      </c>
      <c r="B18" s="95" t="inlineStr">
        <is>
          <t>Ver mi reporte de inasistencias</t>
        </is>
      </c>
      <c r="C18" s="95" t="inlineStr">
        <is>
          <t>RN08, RN09</t>
        </is>
      </c>
      <c r="D18" s="95" t="inlineStr">
        <is>
          <t>Violeta Agudelo</t>
        </is>
      </c>
      <c r="E18" s="95" t="inlineStr">
        <is>
          <t>Sin escenarios</t>
        </is>
      </c>
      <c r="F18" s="95" t="inlineStr">
        <is>
          <t>Sin casos en el Excel</t>
        </is>
      </c>
      <c r="G18" s="95" t="inlineStr">
        <is>
          <t>—</t>
        </is>
      </c>
      <c r="H18" s="95" t="inlineStr">
        <is>
          <t>violeta/rf15_inasistencias.cy.js</t>
        </is>
      </c>
      <c r="I18" s="95" t="inlineStr">
        <is>
          <t>violeta-e2e.feature @rf15 (3); screenpy test_violeta_e2e.py</t>
        </is>
      </c>
      <c r="J18" s="95" t="inlineStr">
        <is>
          <t>test_violeta.py, test_api_violeta.py, test_seguridad_violeta.py / login.test.jsx, profileView.test.jsx</t>
        </is>
      </c>
      <c r="K18" s="95" t="inlineStr">
        <is>
          <t>Por completar</t>
        </is>
      </c>
      <c r="L18" s="95" t="inlineStr">
        <is>
          <t>Ninguno</t>
        </is>
      </c>
    </row>
    <row r="19">
      <c r="A19" s="95" t="inlineStr">
        <is>
          <t>RF16</t>
        </is>
      </c>
      <c r="B19" s="95" t="inlineStr">
        <is>
          <t>Ver el registro diario del gimnasio (entrenador)</t>
        </is>
      </c>
      <c r="C19" s="95" t="inlineStr">
        <is>
          <t>RN03, RN08</t>
        </is>
      </c>
      <c r="D19" s="95" t="inlineStr">
        <is>
          <t>Camila Villero</t>
        </is>
      </c>
      <c r="E19" s="95" t="inlineStr">
        <is>
          <t>EP16-01, EP16-02, EP16-03</t>
        </is>
      </c>
      <c r="F19" s="95" t="inlineStr">
        <is>
          <t>CP16-1, CP16-2, CP16-3</t>
        </is>
      </c>
      <c r="G19" s="95" t="inlineStr">
        <is>
          <t>0 probados, 3 pendientes</t>
        </is>
      </c>
      <c r="H19" s="95" t="inlineStr">
        <is>
          <t>api/rf16_registro_diario.cy.js; ui/panel_entrenador.cy.js; componente TrainerPanel.cy.jsx; componente defectos/interfaz.cy.jsx (DEF-06)</t>
        </is>
      </c>
      <c r="I19" s="95" t="inlineStr">
        <is>
          <t>camila-e2e.feature @rf16 (3)</t>
        </is>
      </c>
      <c r="J19" s="95" t="inlineStr">
        <is>
          <t>test_camila.py / camila.test.jsx, adminPanel.test.jsx, api.test.js</t>
        </is>
      </c>
      <c r="K19" s="95" t="inlineStr">
        <is>
          <t>SH-RF12-RF11, SH-RF13 (escritas, sin ejecutar)</t>
        </is>
      </c>
      <c r="L19" s="95" t="inlineStr">
        <is>
          <t>DEF-06 error mostrado como totales en cero</t>
        </is>
      </c>
    </row>
    <row r="20">
      <c r="A20" s="95" t="inlineStr">
        <is>
          <t>RF20</t>
        </is>
      </c>
      <c r="B20" s="95" t="inlineStr">
        <is>
          <t>Reportar una falla o enviar una sugerencia</t>
        </is>
      </c>
      <c r="C20" s="95" t="inlineStr">
        <is>
          <t>RN11</t>
        </is>
      </c>
      <c r="D20" s="95" t="inlineStr">
        <is>
          <t>Camila Villero</t>
        </is>
      </c>
      <c r="E20" s="95" t="inlineStr">
        <is>
          <t>EP20-01, EP20-02, EP20-03</t>
        </is>
      </c>
      <c r="F20" s="95" t="inlineStr">
        <is>
          <t>CP20-1, CP20-2, CP20-3</t>
        </is>
      </c>
      <c r="G20" s="95" t="inlineStr">
        <is>
          <t>0 probados, 3 pendientes</t>
        </is>
      </c>
      <c r="H20" s="95" t="inlineStr">
        <is>
          <t>api/rf20_rf21_buzon.cy.js; ui/buzon.cy.js; componente HistoryView.cy.jsx; defectos/defectos.cy.js (DEF-02b)</t>
        </is>
      </c>
      <c r="I20" s="95" t="inlineStr">
        <is>
          <t>camila-e2e.feature @rf20 (3)</t>
        </is>
      </c>
      <c r="J20" s="95" t="inlineStr">
        <is>
          <t>test_camila.py / camila.test.jsx, adminPanel.test.jsx, api.test.js</t>
        </is>
      </c>
      <c r="K20" s="95" t="inlineStr">
        <is>
          <t>SH-RF20 (escrita, sin ejecutar)</t>
        </is>
      </c>
      <c r="L20" s="95" t="inlineStr">
        <is>
          <t>VUL-03 / DEF-02b mensajes a nombre de otro</t>
        </is>
      </c>
    </row>
    <row r="21">
      <c r="A21" s="95" t="inlineStr">
        <is>
          <t>RF21</t>
        </is>
      </c>
      <c r="B21" s="95" t="inlineStr">
        <is>
          <t>Consultar el buzón de sugerencias</t>
        </is>
      </c>
      <c r="C21" s="95" t="inlineStr">
        <is>
          <t>—</t>
        </is>
      </c>
      <c r="D21" s="95" t="inlineStr">
        <is>
          <t>Camila Villero</t>
        </is>
      </c>
      <c r="E21" s="95" t="inlineStr">
        <is>
          <t>EP21-01, EP21-02, EP21-03, EP21-04, EP21-05</t>
        </is>
      </c>
      <c r="F21" s="95" t="inlineStr">
        <is>
          <t>CP21-1, CP21-2, CP21-3, CP21-4, CP21-5</t>
        </is>
      </c>
      <c r="G21" s="95" t="inlineStr">
        <is>
          <t>0 probados, 5 pendientes</t>
        </is>
      </c>
      <c r="H21" s="95" t="inlineStr">
        <is>
          <t>api/rf20_rf21_buzon.cy.js; ui/buzon.cy.js; componente AdminPanelBuzon.cy.jsx; defectos (DEF-02, DEF-04, DEF-07)</t>
        </is>
      </c>
      <c r="I21" s="95" t="inlineStr">
        <is>
          <t>camila-e2e.feature @rf21 (2)</t>
        </is>
      </c>
      <c r="J21" s="95" t="inlineStr">
        <is>
          <t>test_camila.py / camila.test.jsx, adminPanel.test.jsx, api.test.js</t>
        </is>
      </c>
      <c r="K21" s="95" t="inlineStr">
        <is>
          <t>SH-RF21 (escrita, sin ejecutar)</t>
        </is>
      </c>
      <c r="L21" s="95" t="inlineStr">
        <is>
          <t>VUL-01 / DEF-02 buzón sin autenticación; DEF-04 hora en UTC; DEF-07 error tratado como buzón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2026-08-24T04:59:40Z</dcterms:created>
  <dcterms:modified xmlns:dcterms="http://purl.org/dc/terms/" xmlns:xsi="http://www.w3.org/2001/XMLSchema-instance" xsi:type="dcterms:W3CDTF">2026-10-27T03:18:54Z</dcterms:modified>
  <cp:revision>0</cp:revision>
</cp:coreProperties>
</file>