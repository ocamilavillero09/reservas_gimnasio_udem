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AE7890EF-BABC-467B-B3BE-CB528BE5D544}" xr6:coauthVersionLast="47" xr6:coauthVersionMax="47" xr10:uidLastSave="{00000000-0000-0000-0000-000000000000}"/>
  <bookViews>
    <workbookView xWindow="-108" yWindow="-108" windowWidth="23256" windowHeight="12456" tabRatio="500" firstSheet="15" activeTab="15" xr2:uid="{00000000-000D-0000-FFFF-FFFF00000000}"/>
  </bookViews>
  <sheets>
    <sheet name="RF01 - Registro" sheetId="1" r:id="rId1"/>
    <sheet name="RF02 - Autenticacion y perfiles" sheetId="12" r:id="rId2"/>
    <sheet name="RF03-Asignación roles" sheetId="6" r:id="rId3"/>
    <sheet name="RF04 - Gest. perfil estudiante" sheetId="7" r:id="rId4"/>
    <sheet name="RF05 - Mis datos" sheetId="2" r:id="rId5"/>
    <sheet name="RF08 - Gestion de reservas" sheetId="13" r:id="rId6"/>
    <sheet name="RF09 - No segunda reserva" sheetId="8" r:id="rId7"/>
    <sheet name="RF10- Consultar reservas" sheetId="9" r:id="rId8"/>
    <sheet name="RF11 - Buscar estudiante" sheetId="3" r:id="rId9"/>
    <sheet name="RF12 - Gestion de horarios" sheetId="14" r:id="rId10"/>
    <sheet name="RF13 - Registrar asistencia" sheetId="4" r:id="rId11"/>
    <sheet name="RF14 - Sin asistencia" sheetId="5" r:id="rId12"/>
    <sheet name="R18 - Reportes personales," sheetId="15" r:id="rId13"/>
    <sheet name="RF23 - notificaciones" sheetId="16" r:id="rId14"/>
    <sheet name="RF25 - Nof. reserva cancelada " sheetId="10" r:id="rId15"/>
    <sheet name="Matriz de trazabilidad" sheetId="11" r:id="rId1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1" l="1"/>
  <c r="G12" i="11"/>
  <c r="I19" i="11"/>
  <c r="H19" i="11"/>
  <c r="E19" i="11"/>
  <c r="C19" i="11"/>
  <c r="D19" i="11"/>
  <c r="H4" i="11"/>
  <c r="H8" i="11"/>
  <c r="I18" i="11"/>
  <c r="H18" i="11"/>
  <c r="G18" i="11"/>
  <c r="E18" i="11"/>
  <c r="I11" i="11"/>
  <c r="H11" i="11"/>
  <c r="G11" i="11"/>
  <c r="I10" i="11"/>
  <c r="H10" i="11"/>
  <c r="G10" i="11"/>
  <c r="I7" i="11"/>
  <c r="H7" i="11"/>
  <c r="E7" i="11"/>
  <c r="I6" i="11"/>
  <c r="H6" i="11"/>
  <c r="G6" i="11"/>
  <c r="D15" i="6"/>
  <c r="D16" i="16"/>
  <c r="D16" i="15"/>
  <c r="D16" i="14"/>
  <c r="D16" i="13"/>
  <c r="D16" i="12"/>
  <c r="D17" i="1"/>
  <c r="I16" i="11"/>
  <c r="I17" i="11"/>
  <c r="I13" i="11"/>
  <c r="I9" i="11"/>
  <c r="E17" i="11"/>
  <c r="E16" i="11"/>
  <c r="E13" i="11"/>
  <c r="E9" i="11"/>
  <c r="I5" i="11"/>
  <c r="G5" i="11"/>
  <c r="E5" i="11"/>
  <c r="D17" i="16"/>
  <c r="D15" i="16"/>
  <c r="D14" i="16"/>
  <c r="D10" i="16"/>
  <c r="D17" i="14"/>
  <c r="D15" i="14"/>
  <c r="D14" i="14"/>
  <c r="D10" i="14"/>
  <c r="D6" i="14"/>
  <c r="D15" i="13"/>
  <c r="D17" i="13"/>
  <c r="D14" i="13"/>
  <c r="D10" i="13"/>
  <c r="D7" i="13"/>
  <c r="D6" i="13"/>
  <c r="D17" i="12"/>
  <c r="D15" i="12"/>
  <c r="D10" i="12"/>
  <c r="D14" i="12"/>
  <c r="D14" i="1"/>
  <c r="D15" i="1"/>
  <c r="D16" i="1"/>
  <c r="D6" i="1"/>
  <c r="D6" i="12"/>
  <c r="D17" i="15"/>
  <c r="D15" i="15"/>
  <c r="D14" i="15"/>
  <c r="D16" i="6"/>
  <c r="D14" i="5"/>
  <c r="D14" i="3"/>
  <c r="D11" i="4"/>
  <c r="E4" i="11"/>
  <c r="D14" i="4"/>
  <c r="I8" i="11"/>
  <c r="G8" i="11"/>
  <c r="I4" i="11"/>
  <c r="G4" i="11"/>
  <c r="D17" i="6"/>
  <c r="D17" i="3"/>
  <c r="D16" i="3"/>
  <c r="D15" i="3"/>
  <c r="D17" i="5"/>
  <c r="D16" i="5"/>
  <c r="D15" i="5"/>
  <c r="D15" i="4"/>
  <c r="D17" i="4"/>
  <c r="D16" i="4"/>
  <c r="D6" i="6"/>
  <c r="D17" i="10"/>
  <c r="D16" i="10"/>
  <c r="D15" i="10"/>
  <c r="D10" i="1"/>
  <c r="D10" i="2"/>
  <c r="D10" i="4"/>
  <c r="D14" i="10"/>
  <c r="D14" i="8"/>
  <c r="D10" i="10"/>
  <c r="D10" i="8"/>
  <c r="D17" i="2"/>
  <c r="D6" i="10"/>
  <c r="D17" i="9"/>
  <c r="D10" i="9"/>
  <c r="D16" i="2"/>
  <c r="D16" i="9"/>
  <c r="D15" i="9"/>
  <c r="D6" i="9"/>
  <c r="D14" i="9"/>
  <c r="D17" i="8"/>
  <c r="D15" i="8"/>
  <c r="D16" i="8"/>
  <c r="D15" i="2"/>
  <c r="D14" i="6"/>
  <c r="D10" i="6"/>
  <c r="D6" i="8"/>
  <c r="D17" i="7"/>
  <c r="D16" i="7"/>
  <c r="D14" i="7"/>
  <c r="D11" i="2"/>
  <c r="D10" i="7"/>
  <c r="D6" i="7"/>
  <c r="D10" i="3"/>
  <c r="D14" i="2"/>
  <c r="D6" i="5"/>
  <c r="D6" i="4"/>
  <c r="D6" i="3"/>
  <c r="D6" i="2"/>
</calcChain>
</file>

<file path=xl/sharedStrings.xml><?xml version="1.0" encoding="utf-8"?>
<sst xmlns="http://schemas.openxmlformats.org/spreadsheetml/2006/main" count="560" uniqueCount="94">
  <si>
    <t>RF01 - Registro de usuarios (nombre, correo institucional, documento de identidad)</t>
  </si>
  <si>
    <t>Métrica</t>
  </si>
  <si>
    <t>Definición</t>
  </si>
  <si>
    <t>Fórmula</t>
  </si>
  <si>
    <t>Cálculo</t>
  </si>
  <si>
    <t>Métricas Estructurales</t>
  </si>
  <si>
    <t>Complejidad ciclomática V(G)</t>
  </si>
  <si>
    <t>Mide las decisiones del código.</t>
  </si>
  <si>
    <t>V(G) = decisiones + 1</t>
  </si>
  <si>
    <t>Complejidad cognitiva</t>
  </si>
  <si>
    <t>Dificultad de comprensión humana del código (no cuenta caminos, sino esfuerzo de lectura).</t>
  </si>
  <si>
    <t>+1 por decisión; +1 por cada secuencia de operador lógico distinto en una condición compuesta</t>
  </si>
  <si>
    <t>6 (moderada)</t>
  </si>
  <si>
    <t>Métricas de Pruebas</t>
  </si>
  <si>
    <t xml:space="preserve">Cobertura de código </t>
  </si>
  <si>
    <t>Porcentaje de elementos del código ejecutados por las pruebas.</t>
  </si>
  <si>
    <t>Cobertura = Elementos ejecutados / Elementos totales × 100</t>
  </si>
  <si>
    <t>Eficacia de la eliminación de defectos (EED)</t>
  </si>
  <si>
    <t>Relación entre errores detectados antes de la entrega y detectados por usuarios después.</t>
  </si>
  <si>
    <t>EED = E / (E + D)</t>
  </si>
  <si>
    <t>N/A</t>
  </si>
  <si>
    <t>Métricas de Calidad del Producto (ISO 25010)</t>
  </si>
  <si>
    <t>Densidad de fallos  ·  Fiabilidad</t>
  </si>
  <si>
    <t>Defectos encontrados por cada 1000 líneas de código (KLoC).</t>
  </si>
  <si>
    <t>Densidad = Nº defectos / Total de líneas de código (KLoC)</t>
  </si>
  <si>
    <t>Tiempo de respuesta  ·  Eficiencia de Desempeño</t>
  </si>
  <si>
    <t>Tiempo que tarda el endpoint en responder a una solicitud.</t>
  </si>
  <si>
    <t>Tiempo de respuesta = Tiempo de finalización − Tiempo de inicio</t>
  </si>
  <si>
    <t>Uso de CPU / Memoria  ·  Eficiencia de Desempeño</t>
  </si>
  <si>
    <t>Recursos de cómputo consumidos por el proceso durante la ejecución.</t>
  </si>
  <si>
    <t xml:space="preserve">Uso CPU = (Tiempo CPU / Tiempo total) × 100  </t>
  </si>
  <si>
    <t>Uso Memoria = (Memoria usada / Memoria total) × 100</t>
  </si>
  <si>
    <t>RF02 - Autenticacion y perfiles</t>
  </si>
  <si>
    <t>4 (baja)</t>
  </si>
  <si>
    <t>RF03 - Asignación roles (Estudiante, Entrenador, Administrador).</t>
  </si>
  <si>
    <t>2 (baja)</t>
  </si>
  <si>
    <t>RF04 - Gestión perfil estudiante.</t>
  </si>
  <si>
    <t>RF05 - Entrenadores/administradores consultan nombre, documento de identidad y rol (solo camino GET)</t>
  </si>
  <si>
    <t>3 (baja)</t>
  </si>
  <si>
    <t>RF08  - Gestion de reservas,</t>
  </si>
  <si>
    <t>RF09 - Inpedir segunda reserva.</t>
  </si>
  <si>
    <t>RF10 - Consultar reservas.</t>
  </si>
  <si>
    <t>RF11 - Entrenador busca a un estudiante por documento de identidad (student_lookup)</t>
  </si>
  <si>
    <t>RF12 - Gestion de horarios</t>
  </si>
  <si>
    <t>RF13 - Registrar la asistencia del estudiante (register_attendance)</t>
  </si>
  <si>
    <t>9 (moderada)</t>
  </si>
  <si>
    <t>RF14 - Estudiantes con reserva sin asistencia registrada (pending_attendance)</t>
  </si>
  <si>
    <t>RF18 - Reportes personales</t>
  </si>
  <si>
    <t>RF23 - notificaciones</t>
  </si>
  <si>
    <t>0(baja)</t>
  </si>
  <si>
    <t>RF25 - Notificación de reserva cancelada.</t>
  </si>
  <si>
    <t>Matriz de trazabilidad y cobertura estructural</t>
  </si>
  <si>
    <t>Requisito</t>
  </si>
  <si>
    <t>Funcionalidad</t>
  </si>
  <si>
    <t>V(G) (complejidad ciclomática)</t>
  </si>
  <si>
    <t>Cobertura estructural</t>
  </si>
  <si>
    <t>Densidad de defectos</t>
  </si>
  <si>
    <t>EED</t>
  </si>
  <si>
    <t>Tiempo de respuesta</t>
  </si>
  <si>
    <t>Uso CPU</t>
  </si>
  <si>
    <t>Uso Memoria</t>
  </si>
  <si>
    <t>RF01</t>
  </si>
  <si>
    <t>Registro de usuarios</t>
  </si>
  <si>
    <t>RF02</t>
  </si>
  <si>
    <t>Inicio de sesión mediante correo institucional y documento de identidad</t>
  </si>
  <si>
    <t>RF03</t>
  </si>
  <si>
    <t>Asignación de roles</t>
  </si>
  <si>
    <t>RF04</t>
  </si>
  <si>
    <t>Gestión perfil estudiante</t>
  </si>
  <si>
    <t>RF05</t>
  </si>
  <si>
    <t>Consulta de perfil (entrenador/administrador)</t>
  </si>
  <si>
    <t>RF08</t>
  </si>
  <si>
    <t>El sistema deberá permitir al estudiante realizar una reserva para el día siguiente.</t>
  </si>
  <si>
    <t>0,0055</t>
  </si>
  <si>
    <t>RF09</t>
  </si>
  <si>
    <t>No segunda reserva</t>
  </si>
  <si>
    <t>RF10</t>
  </si>
  <si>
    <t>Consultar reservas</t>
  </si>
  <si>
    <t>RF11</t>
  </si>
  <si>
    <t>Buscar estudiante por documento</t>
  </si>
  <si>
    <t>RF12</t>
  </si>
  <si>
    <t>Visualización de los bloques horarios por parte de los roles autorizados.</t>
  </si>
  <si>
    <t>0,0093</t>
  </si>
  <si>
    <t>RF13</t>
  </si>
  <si>
    <t>Registrar asistencia</t>
  </si>
  <si>
    <t>RF14</t>
  </si>
  <si>
    <t>Estudiantes sin asistencia registrada</t>
  </si>
  <si>
    <t>RF18</t>
  </si>
  <si>
    <t>Consulta del reporte personal de inasistencias y penalizaciones</t>
  </si>
  <si>
    <t>0,006</t>
  </si>
  <si>
    <t>RF23</t>
  </si>
  <si>
    <t>Notificación de confirmación después de realizar una reserva.</t>
  </si>
  <si>
    <t>RF25</t>
  </si>
  <si>
    <t>Notficiación reserva cancelada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</si>
</sst>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family val="2"/>
      <charset val="1"/>
    </font>
    <font>
      <sz val="11"/>
      <color theme="1"/>
      <name val="Calibri"/>
      <scheme val="minor"/>
    </font>
    <font>
      <b/>
      <sz val="10"/>
      <color rgb="FFFFFFFF"/>
      <name val="Arial"/>
      <family val="2"/>
    </font>
    <font>
      <b/>
      <sz val="13"/>
      <name val="Arial"/>
      <family val="2"/>
    </font>
    <font>
      <b/>
      <sz val="13"/>
      <color theme="1"/>
      <name val="Arial"/>
      <family val="2"/>
    </font>
    <font>
      <sz val="11"/>
      <color rgb="FF000000"/>
      <name val="Calibri"/>
      <family val="2"/>
      <charset val="1"/>
    </font>
    <font>
      <i/>
      <sz val="9"/>
      <color rgb="FF777777"/>
      <name val="Calibri"/>
      <family val="2"/>
    </font>
    <font>
      <b/>
      <sz val="13"/>
      <color rgb="FF000000"/>
      <name val="Arial"/>
      <charset val="1"/>
    </font>
    <font>
      <b/>
      <sz val="10"/>
      <color rgb="FFFFFFFF"/>
      <name val="Arial"/>
    </font>
    <font>
      <b/>
      <sz val="13"/>
      <name val="Arial"/>
    </font>
    <font>
      <sz val="11"/>
      <name val="Calibri"/>
      <scheme val="minor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1A0C7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0" fontId="5" fillId="0" borderId="2" xfId="0" applyFont="1" applyBorder="1" applyAlignment="1">
      <alignment wrapText="1"/>
    </xf>
    <xf numFmtId="0" fontId="5" fillId="0" borderId="2" xfId="0" quotePrefix="1" applyFont="1" applyBorder="1" applyAlignment="1">
      <alignment wrapText="1"/>
    </xf>
    <xf numFmtId="0" fontId="0" fillId="0" borderId="2" xfId="0" applyBorder="1"/>
    <xf numFmtId="0" fontId="0" fillId="3" borderId="2" xfId="0" applyFill="1" applyBorder="1" applyAlignment="1">
      <alignment wrapText="1"/>
    </xf>
    <xf numFmtId="0" fontId="5" fillId="0" borderId="7" xfId="0" applyFont="1" applyBorder="1" applyAlignment="1">
      <alignment wrapText="1"/>
    </xf>
    <xf numFmtId="0" fontId="7" fillId="0" borderId="0" xfId="0" applyFont="1"/>
    <xf numFmtId="0" fontId="0" fillId="0" borderId="1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10" fontId="0" fillId="0" borderId="2" xfId="0" applyNumberFormat="1" applyBorder="1" applyAlignment="1">
      <alignment horizontal="center" vertical="center" wrapText="1"/>
    </xf>
    <xf numFmtId="10" fontId="5" fillId="0" borderId="9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2" fontId="5" fillId="0" borderId="6" xfId="0" applyNumberFormat="1" applyFont="1" applyBorder="1" applyAlignment="1">
      <alignment wrapText="1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2" xfId="0" quotePrefix="1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5" fillId="0" borderId="6" xfId="0" applyFont="1" applyBorder="1" applyAlignment="1">
      <alignment horizontal="center" wrapText="1"/>
    </xf>
    <xf numFmtId="0" fontId="9" fillId="0" borderId="0" xfId="0" applyFont="1"/>
    <xf numFmtId="0" fontId="0" fillId="0" borderId="12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0" fillId="3" borderId="1" xfId="0" applyFont="1" applyFill="1" applyBorder="1" applyAlignment="1">
      <alignment wrapText="1"/>
    </xf>
    <xf numFmtId="0" fontId="10" fillId="3" borderId="11" xfId="0" applyFont="1" applyFill="1" applyBorder="1" applyAlignment="1">
      <alignment wrapText="1"/>
    </xf>
    <xf numFmtId="0" fontId="10" fillId="3" borderId="14" xfId="0" applyFont="1" applyFill="1" applyBorder="1" applyAlignment="1">
      <alignment wrapText="1"/>
    </xf>
    <xf numFmtId="0" fontId="10" fillId="0" borderId="13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2" fontId="11" fillId="0" borderId="2" xfId="0" applyNumberFormat="1" applyFont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wrapText="1"/>
    </xf>
    <xf numFmtId="0" fontId="11" fillId="4" borderId="2" xfId="0" applyFont="1" applyFill="1" applyBorder="1" applyAlignment="1">
      <alignment horizontal="center" vertical="center" wrapText="1"/>
    </xf>
    <xf numFmtId="10" fontId="11" fillId="4" borderId="2" xfId="0" applyNumberFormat="1" applyFont="1" applyFill="1" applyBorder="1" applyAlignment="1">
      <alignment horizontal="center" wrapText="1"/>
    </xf>
    <xf numFmtId="164" fontId="11" fillId="4" borderId="2" xfId="0" applyNumberFormat="1" applyFont="1" applyFill="1" applyBorder="1" applyAlignment="1">
      <alignment horizontal="center" wrapText="1"/>
    </xf>
    <xf numFmtId="164" fontId="10" fillId="0" borderId="2" xfId="0" applyNumberFormat="1" applyFont="1" applyBorder="1" applyAlignment="1">
      <alignment horizontal="center" wrapText="1"/>
    </xf>
    <xf numFmtId="2" fontId="11" fillId="4" borderId="2" xfId="0" applyNumberFormat="1" applyFont="1" applyFill="1" applyBorder="1" applyAlignment="1">
      <alignment horizontal="center" wrapText="1"/>
    </xf>
    <xf numFmtId="2" fontId="10" fillId="0" borderId="2" xfId="0" applyNumberFormat="1" applyFont="1" applyBorder="1" applyAlignment="1">
      <alignment horizontal="center" wrapText="1"/>
    </xf>
    <xf numFmtId="164" fontId="0" fillId="0" borderId="2" xfId="0" applyNumberForma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wrapText="1"/>
    </xf>
    <xf numFmtId="10" fontId="11" fillId="0" borderId="2" xfId="0" applyNumberFormat="1" applyFont="1" applyBorder="1" applyAlignment="1">
      <alignment horizontal="center" vertical="center" wrapText="1"/>
    </xf>
    <xf numFmtId="10" fontId="11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wrapText="1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0" fillId="0" borderId="0" xfId="0" applyAlignment="1"/>
    <xf numFmtId="0" fontId="2" fillId="2" borderId="3" xfId="0" applyFont="1" applyFill="1" applyBorder="1" applyAlignment="1"/>
    <xf numFmtId="0" fontId="2" fillId="2" borderId="4" xfId="0" applyFont="1" applyFill="1" applyBorder="1" applyAlignment="1"/>
    <xf numFmtId="0" fontId="2" fillId="2" borderId="5" xfId="0" applyFont="1" applyFill="1" applyBorder="1" applyAlignment="1"/>
    <xf numFmtId="0" fontId="2" fillId="2" borderId="2" xfId="0" applyFont="1" applyFill="1" applyBorder="1" applyAlignment="1"/>
    <xf numFmtId="0" fontId="2" fillId="2" borderId="6" xfId="0" applyFont="1" applyFill="1" applyBorder="1" applyAlignment="1"/>
    <xf numFmtId="0" fontId="1" fillId="3" borderId="6" xfId="0" applyFont="1" applyFill="1" applyBorder="1"/>
    <xf numFmtId="164" fontId="1" fillId="0" borderId="2" xfId="0" applyNumberFormat="1" applyFont="1" applyBorder="1" applyAlignment="1">
      <alignment horizontal="center" vertical="center" wrapText="1"/>
    </xf>
    <xf numFmtId="10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9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CA3AF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showGridLines="0" zoomScaleNormal="100" workbookViewId="0">
      <selection activeCell="I8" sqref="I8"/>
    </sheetView>
  </sheetViews>
  <sheetFormatPr defaultColWidth="8.7109375" defaultRowHeight="14.45"/>
  <cols>
    <col min="1" max="2" width="30" customWidth="1"/>
    <col min="3" max="4" width="34" customWidth="1"/>
  </cols>
  <sheetData>
    <row r="1" spans="1:4" ht="16.899999999999999" customHeight="1">
      <c r="A1" s="66" t="s">
        <v>0</v>
      </c>
      <c r="B1" s="81"/>
      <c r="C1" s="81"/>
      <c r="D1" s="81"/>
    </row>
    <row r="3" spans="1:4" ht="15"/>
    <row r="4" spans="1:4" ht="15">
      <c r="A4" s="19" t="s">
        <v>1</v>
      </c>
      <c r="B4" s="19" t="s">
        <v>2</v>
      </c>
      <c r="C4" s="19" t="s">
        <v>3</v>
      </c>
      <c r="D4" s="19" t="s">
        <v>4</v>
      </c>
    </row>
    <row r="5" spans="1:4" ht="14.45" customHeight="1">
      <c r="A5" s="67" t="s">
        <v>5</v>
      </c>
      <c r="B5" s="68"/>
      <c r="C5" s="68"/>
      <c r="D5" s="69"/>
    </row>
    <row r="6" spans="1:4" ht="15">
      <c r="A6" s="10" t="s">
        <v>6</v>
      </c>
      <c r="B6" s="10" t="s">
        <v>7</v>
      </c>
      <c r="C6" s="10" t="s">
        <v>8</v>
      </c>
      <c r="D6" s="10">
        <f>5+1</f>
        <v>6</v>
      </c>
    </row>
    <row r="7" spans="1:4" ht="60.75">
      <c r="A7" s="11" t="s">
        <v>9</v>
      </c>
      <c r="B7" s="11" t="s">
        <v>10</v>
      </c>
      <c r="C7" s="12" t="s">
        <v>11</v>
      </c>
      <c r="D7" s="11" t="s">
        <v>12</v>
      </c>
    </row>
    <row r="8" spans="1:4" ht="15">
      <c r="A8" s="20"/>
      <c r="B8" s="20"/>
      <c r="C8" s="20"/>
      <c r="D8" s="20"/>
    </row>
    <row r="9" spans="1:4" ht="15">
      <c r="A9" s="70" t="s">
        <v>13</v>
      </c>
      <c r="B9" s="65"/>
      <c r="C9" s="65"/>
      <c r="D9" s="65"/>
    </row>
    <row r="10" spans="1:4" ht="45.75">
      <c r="A10" s="13" t="s">
        <v>14</v>
      </c>
      <c r="B10" s="11" t="s">
        <v>15</v>
      </c>
      <c r="C10" s="11" t="s">
        <v>16</v>
      </c>
      <c r="D10" s="11">
        <f>+(5/5)*100</f>
        <v>100</v>
      </c>
    </row>
    <row r="11" spans="1:4" ht="45.75">
      <c r="A11" s="11" t="s">
        <v>17</v>
      </c>
      <c r="B11" s="14" t="s">
        <v>18</v>
      </c>
      <c r="C11" s="14" t="s">
        <v>19</v>
      </c>
      <c r="D11" s="14" t="s">
        <v>20</v>
      </c>
    </row>
    <row r="12" spans="1:4" ht="15">
      <c r="A12" s="64"/>
      <c r="B12" s="64"/>
      <c r="C12" s="64"/>
      <c r="D12" s="64"/>
    </row>
    <row r="13" spans="1:4" ht="15">
      <c r="A13" s="65" t="s">
        <v>21</v>
      </c>
      <c r="B13" s="65"/>
      <c r="C13" s="65"/>
      <c r="D13" s="65"/>
    </row>
    <row r="14" spans="1:4" ht="30.75">
      <c r="A14" s="14" t="s">
        <v>22</v>
      </c>
      <c r="B14" s="14" t="s">
        <v>23</v>
      </c>
      <c r="C14" s="14" t="s">
        <v>24</v>
      </c>
      <c r="D14" s="16">
        <f>0/0.018</f>
        <v>0</v>
      </c>
    </row>
    <row r="15" spans="1:4" ht="30.75">
      <c r="A15" s="18" t="s">
        <v>25</v>
      </c>
      <c r="B15" s="18" t="s">
        <v>26</v>
      </c>
      <c r="C15" s="25" t="s">
        <v>27</v>
      </c>
      <c r="D15" s="29">
        <f>58.9598341 - 58.5486366</f>
        <v>0.4111975000000001</v>
      </c>
    </row>
    <row r="16" spans="1:4" ht="45.75">
      <c r="A16" s="11" t="s">
        <v>28</v>
      </c>
      <c r="B16" s="11" t="s">
        <v>29</v>
      </c>
      <c r="C16" s="11" t="s">
        <v>30</v>
      </c>
      <c r="D16" s="28">
        <f>(356636882-353632024)/(11.571825*1000000)*100</f>
        <v>25.967019031138133</v>
      </c>
    </row>
    <row r="17" spans="1:4" ht="45.75">
      <c r="A17" s="11" t="s">
        <v>28</v>
      </c>
      <c r="B17" s="11" t="s">
        <v>29</v>
      </c>
      <c r="C17" s="17" t="s">
        <v>31</v>
      </c>
      <c r="D17" s="37">
        <f>+(88.34 / 11878.4) * 100</f>
        <v>0.74370285560344829</v>
      </c>
    </row>
    <row r="19" spans="1:4" ht="15"/>
    <row r="20" spans="1:4" ht="15"/>
    <row r="21" spans="1:4" ht="15"/>
    <row r="22" spans="1:4" ht="15"/>
    <row r="23" spans="1:4" ht="15"/>
  </sheetData>
  <mergeCells count="5">
    <mergeCell ref="A12:D12"/>
    <mergeCell ref="A13:D13"/>
    <mergeCell ref="A1:D1"/>
    <mergeCell ref="A5:D5"/>
    <mergeCell ref="A9:D9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E7E6D-7316-482C-B0C2-44E1557C2290}">
  <dimension ref="A1:D17"/>
  <sheetViews>
    <sheetView showGridLines="0" zoomScaleNormal="100" workbookViewId="0">
      <selection activeCell="D11" sqref="D11"/>
    </sheetView>
  </sheetViews>
  <sheetFormatPr defaultColWidth="8.7109375" defaultRowHeight="15"/>
  <cols>
    <col min="1" max="2" width="30" customWidth="1"/>
    <col min="3" max="4" width="34" customWidth="1"/>
  </cols>
  <sheetData>
    <row r="1" spans="1:4" ht="16.899999999999999" customHeight="1">
      <c r="A1" s="66" t="s">
        <v>32</v>
      </c>
      <c r="B1" s="81"/>
      <c r="C1" s="81"/>
      <c r="D1" s="81"/>
    </row>
    <row r="4" spans="1:4">
      <c r="A4" s="19" t="s">
        <v>1</v>
      </c>
      <c r="B4" s="19" t="s">
        <v>2</v>
      </c>
      <c r="C4" s="19" t="s">
        <v>3</v>
      </c>
      <c r="D4" s="19" t="s">
        <v>4</v>
      </c>
    </row>
    <row r="5" spans="1:4" ht="14.45" customHeight="1">
      <c r="A5" s="67" t="s">
        <v>5</v>
      </c>
      <c r="B5" s="68"/>
      <c r="C5" s="68"/>
      <c r="D5" s="69"/>
    </row>
    <row r="6" spans="1:4">
      <c r="A6" s="10" t="s">
        <v>6</v>
      </c>
      <c r="B6" s="10" t="s">
        <v>7</v>
      </c>
      <c r="C6" s="10" t="s">
        <v>8</v>
      </c>
      <c r="D6" s="10">
        <f>4+1</f>
        <v>5</v>
      </c>
    </row>
    <row r="7" spans="1:4" ht="60.75">
      <c r="A7" s="11" t="s">
        <v>9</v>
      </c>
      <c r="B7" s="11" t="s">
        <v>10</v>
      </c>
      <c r="C7" s="12" t="s">
        <v>11</v>
      </c>
      <c r="D7" s="11" t="s">
        <v>33</v>
      </c>
    </row>
    <row r="8" spans="1:4">
      <c r="A8" s="20"/>
      <c r="B8" s="20"/>
      <c r="C8" s="20"/>
      <c r="D8" s="20"/>
    </row>
    <row r="9" spans="1:4">
      <c r="A9" s="70" t="s">
        <v>13</v>
      </c>
      <c r="B9" s="65"/>
      <c r="C9" s="65"/>
      <c r="D9" s="65"/>
    </row>
    <row r="10" spans="1:4" ht="45.75">
      <c r="A10" s="13" t="s">
        <v>14</v>
      </c>
      <c r="B10" s="11" t="s">
        <v>15</v>
      </c>
      <c r="C10" s="11" t="s">
        <v>16</v>
      </c>
      <c r="D10" s="11">
        <f>+(9/10)*100</f>
        <v>90</v>
      </c>
    </row>
    <row r="11" spans="1:4" ht="45.75">
      <c r="A11" s="11" t="s">
        <v>17</v>
      </c>
      <c r="B11" s="14" t="s">
        <v>18</v>
      </c>
      <c r="C11" s="14" t="s">
        <v>19</v>
      </c>
      <c r="D11" s="14" t="s">
        <v>20</v>
      </c>
    </row>
    <row r="12" spans="1:4">
      <c r="A12" s="64"/>
      <c r="B12" s="64"/>
      <c r="C12" s="64"/>
      <c r="D12" s="64"/>
    </row>
    <row r="13" spans="1:4">
      <c r="A13" s="65" t="s">
        <v>21</v>
      </c>
      <c r="B13" s="65"/>
      <c r="C13" s="65"/>
      <c r="D13" s="65"/>
    </row>
    <row r="14" spans="1:4" ht="30.75">
      <c r="A14" s="14" t="s">
        <v>22</v>
      </c>
      <c r="B14" s="14" t="s">
        <v>23</v>
      </c>
      <c r="C14" s="14" t="s">
        <v>24</v>
      </c>
      <c r="D14" s="16">
        <f>1/0.565</f>
        <v>1.7699115044247788</v>
      </c>
    </row>
    <row r="15" spans="1:4" ht="30.75">
      <c r="A15" s="18" t="s">
        <v>25</v>
      </c>
      <c r="B15" s="18" t="s">
        <v>26</v>
      </c>
      <c r="C15" s="25" t="s">
        <v>27</v>
      </c>
      <c r="D15" s="29">
        <f>0.0156-0</f>
        <v>1.5599999999999999E-2</v>
      </c>
    </row>
    <row r="16" spans="1:4" ht="45.75">
      <c r="A16" s="11" t="s">
        <v>28</v>
      </c>
      <c r="B16" s="11" t="s">
        <v>29</v>
      </c>
      <c r="C16" s="11" t="s">
        <v>30</v>
      </c>
      <c r="D16" s="28">
        <f>4.02/4.05879*100</f>
        <v>99.044296452883728</v>
      </c>
    </row>
    <row r="17" spans="1:4" ht="45.75">
      <c r="A17" s="11" t="s">
        <v>28</v>
      </c>
      <c r="B17" s="11" t="s">
        <v>29</v>
      </c>
      <c r="C17" s="17" t="s">
        <v>31</v>
      </c>
      <c r="D17" s="37">
        <f>65872/8024472*100</f>
        <v>0.82088890085229271</v>
      </c>
    </row>
  </sheetData>
  <mergeCells count="5">
    <mergeCell ref="A1:D1"/>
    <mergeCell ref="A5:D5"/>
    <mergeCell ref="A9:D9"/>
    <mergeCell ref="A12:D12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3E38E-34A8-40B7-A706-7C7A7D00AEBE}">
  <dimension ref="A1:D17"/>
  <sheetViews>
    <sheetView workbookViewId="0">
      <selection activeCell="D17" sqref="D17"/>
    </sheetView>
  </sheetViews>
  <sheetFormatPr defaultRowHeight="15"/>
  <cols>
    <col min="1" max="4" width="27" customWidth="1"/>
  </cols>
  <sheetData>
    <row r="1" spans="1:4" ht="16.5">
      <c r="A1" s="9" t="s">
        <v>34</v>
      </c>
    </row>
    <row r="4" spans="1:4" ht="16.5" customHeight="1">
      <c r="A4" s="7" t="s">
        <v>1</v>
      </c>
      <c r="B4" s="7" t="s">
        <v>2</v>
      </c>
      <c r="C4" s="7" t="s">
        <v>3</v>
      </c>
      <c r="D4" s="7" t="s">
        <v>4</v>
      </c>
    </row>
    <row r="5" spans="1:4" ht="15.75" customHeight="1">
      <c r="A5" s="82" t="s">
        <v>5</v>
      </c>
      <c r="B5" s="83"/>
      <c r="C5" s="83"/>
      <c r="D5" s="84"/>
    </row>
    <row r="6" spans="1:4" ht="29.25" customHeight="1">
      <c r="A6" s="10" t="s">
        <v>6</v>
      </c>
      <c r="B6" s="10" t="s">
        <v>7</v>
      </c>
      <c r="C6" s="10" t="s">
        <v>8</v>
      </c>
      <c r="D6" s="10">
        <f>2+1</f>
        <v>3</v>
      </c>
    </row>
    <row r="7" spans="1:4" ht="60" customHeight="1">
      <c r="A7" s="11" t="s">
        <v>9</v>
      </c>
      <c r="B7" s="11" t="s">
        <v>10</v>
      </c>
      <c r="C7" s="12" t="s">
        <v>11</v>
      </c>
      <c r="D7" s="11" t="s">
        <v>35</v>
      </c>
    </row>
    <row r="8" spans="1:4">
      <c r="A8" s="3"/>
      <c r="B8" s="3"/>
      <c r="C8" s="3"/>
      <c r="D8" s="3"/>
    </row>
    <row r="9" spans="1:4" ht="18" customHeight="1">
      <c r="A9" s="85" t="s">
        <v>13</v>
      </c>
      <c r="B9" s="86"/>
      <c r="C9" s="86"/>
      <c r="D9" s="86"/>
    </row>
    <row r="10" spans="1:4" ht="47.25" customHeight="1">
      <c r="A10" s="13" t="s">
        <v>14</v>
      </c>
      <c r="B10" s="11" t="s">
        <v>15</v>
      </c>
      <c r="C10" s="11" t="s">
        <v>16</v>
      </c>
      <c r="D10" s="11">
        <f>+(4/4)*100</f>
        <v>100</v>
      </c>
    </row>
    <row r="11" spans="1:4" ht="58.5" customHeight="1">
      <c r="A11" s="11" t="s">
        <v>17</v>
      </c>
      <c r="B11" s="14" t="s">
        <v>18</v>
      </c>
      <c r="C11" s="14" t="s">
        <v>19</v>
      </c>
      <c r="D11" s="14" t="s">
        <v>20</v>
      </c>
    </row>
    <row r="12" spans="1:4">
      <c r="A12" s="71"/>
      <c r="B12" s="71"/>
      <c r="C12" s="71"/>
      <c r="D12" s="71"/>
    </row>
    <row r="13" spans="1:4" ht="18.75" customHeight="1">
      <c r="A13" s="86" t="s">
        <v>21</v>
      </c>
      <c r="B13" s="86"/>
      <c r="C13" s="86"/>
      <c r="D13" s="86"/>
    </row>
    <row r="14" spans="1:4" ht="58.5" customHeight="1">
      <c r="A14" s="14" t="s">
        <v>22</v>
      </c>
      <c r="B14" s="14" t="s">
        <v>23</v>
      </c>
      <c r="C14" s="14" t="s">
        <v>24</v>
      </c>
      <c r="D14" s="16">
        <f>0/(7/1000)</f>
        <v>0</v>
      </c>
    </row>
    <row r="15" spans="1:4" ht="58.5" customHeight="1">
      <c r="A15" s="11" t="s">
        <v>25</v>
      </c>
      <c r="B15" s="11" t="s">
        <v>26</v>
      </c>
      <c r="C15" s="15" t="s">
        <v>27</v>
      </c>
      <c r="D15" s="17">
        <f>0.046508</f>
        <v>4.6508000000000001E-2</v>
      </c>
    </row>
    <row r="16" spans="1:4" ht="58.5" customHeight="1">
      <c r="A16" s="18" t="s">
        <v>28</v>
      </c>
      <c r="B16" s="18" t="s">
        <v>29</v>
      </c>
      <c r="C16" s="18" t="s">
        <v>30</v>
      </c>
      <c r="D16" s="24">
        <f>(0.5625 / 0.5737348)</f>
        <v>0.98041813046724724</v>
      </c>
    </row>
    <row r="17" spans="1:4" ht="45.75">
      <c r="A17" s="11" t="s">
        <v>28</v>
      </c>
      <c r="B17" s="11" t="s">
        <v>29</v>
      </c>
      <c r="C17" s="17" t="s">
        <v>31</v>
      </c>
      <c r="D17" s="23">
        <f>(25924/(15.8*1024*1024))</f>
        <v>1.5647501885136471E-3</v>
      </c>
    </row>
  </sheetData>
  <mergeCells count="4">
    <mergeCell ref="A5:D5"/>
    <mergeCell ref="A9:D9"/>
    <mergeCell ref="A12:D12"/>
    <mergeCell ref="A13:D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C39B-1A55-474D-958E-DF792FA49084}">
  <dimension ref="A1:D17"/>
  <sheetViews>
    <sheetView topLeftCell="M7" workbookViewId="0">
      <selection activeCell="D14" sqref="D14"/>
    </sheetView>
  </sheetViews>
  <sheetFormatPr defaultRowHeight="15"/>
  <cols>
    <col min="1" max="4" width="27.140625" customWidth="1"/>
  </cols>
  <sheetData>
    <row r="1" spans="1:4" ht="16.5">
      <c r="A1" s="9" t="s">
        <v>36</v>
      </c>
    </row>
    <row r="4" spans="1:4" ht="15.75" customHeight="1">
      <c r="A4" s="7" t="s">
        <v>1</v>
      </c>
      <c r="B4" s="7" t="s">
        <v>2</v>
      </c>
      <c r="C4" s="7" t="s">
        <v>3</v>
      </c>
      <c r="D4" s="7" t="s">
        <v>4</v>
      </c>
    </row>
    <row r="5" spans="1:4" ht="16.5" customHeight="1">
      <c r="A5" s="82" t="s">
        <v>5</v>
      </c>
      <c r="B5" s="83"/>
      <c r="C5" s="83"/>
      <c r="D5" s="84"/>
    </row>
    <row r="6" spans="1:4" ht="29.25" customHeight="1">
      <c r="A6" s="10" t="s">
        <v>6</v>
      </c>
      <c r="B6" s="10" t="s">
        <v>7</v>
      </c>
      <c r="C6" s="10" t="s">
        <v>8</v>
      </c>
      <c r="D6" s="10">
        <f>4+1</f>
        <v>5</v>
      </c>
    </row>
    <row r="7" spans="1:4" ht="66.75" customHeight="1">
      <c r="A7" s="11" t="s">
        <v>9</v>
      </c>
      <c r="B7" s="11" t="s">
        <v>10</v>
      </c>
      <c r="C7" s="12" t="s">
        <v>11</v>
      </c>
      <c r="D7" s="11" t="s">
        <v>33</v>
      </c>
    </row>
    <row r="8" spans="1:4">
      <c r="A8" s="3"/>
      <c r="B8" s="3"/>
      <c r="C8" s="3"/>
      <c r="D8" s="3"/>
    </row>
    <row r="9" spans="1:4" ht="15.75" customHeight="1">
      <c r="A9" s="85" t="s">
        <v>13</v>
      </c>
      <c r="B9" s="86"/>
      <c r="C9" s="86"/>
      <c r="D9" s="86"/>
    </row>
    <row r="10" spans="1:4" ht="48" customHeight="1">
      <c r="A10" s="13" t="s">
        <v>14</v>
      </c>
      <c r="B10" s="11" t="s">
        <v>15</v>
      </c>
      <c r="C10" s="11" t="s">
        <v>16</v>
      </c>
      <c r="D10" s="11">
        <f>+(6/6)*100</f>
        <v>100</v>
      </c>
    </row>
    <row r="11" spans="1:4" ht="65.25" customHeight="1">
      <c r="A11" s="11" t="s">
        <v>17</v>
      </c>
      <c r="B11" s="14" t="s">
        <v>18</v>
      </c>
      <c r="C11" s="14" t="s">
        <v>19</v>
      </c>
      <c r="D11" s="14" t="s">
        <v>20</v>
      </c>
    </row>
    <row r="12" spans="1:4">
      <c r="A12" s="71"/>
      <c r="B12" s="71"/>
      <c r="C12" s="71"/>
      <c r="D12" s="71"/>
    </row>
    <row r="13" spans="1:4" ht="17.25" customHeight="1">
      <c r="A13" s="86" t="s">
        <v>21</v>
      </c>
      <c r="B13" s="86"/>
      <c r="C13" s="86"/>
      <c r="D13" s="86"/>
    </row>
    <row r="14" spans="1:4" ht="48" customHeight="1">
      <c r="A14" s="14" t="s">
        <v>22</v>
      </c>
      <c r="B14" s="14" t="s">
        <v>23</v>
      </c>
      <c r="C14" s="13" t="s">
        <v>24</v>
      </c>
      <c r="D14" s="11">
        <f>3 / (9 / 1000)</f>
        <v>333.33333333333337</v>
      </c>
    </row>
    <row r="15" spans="1:4" ht="45.75" customHeight="1">
      <c r="A15" s="11" t="s">
        <v>25</v>
      </c>
      <c r="B15" s="11" t="s">
        <v>26</v>
      </c>
      <c r="C15" s="15" t="s">
        <v>27</v>
      </c>
      <c r="D15" s="17">
        <v>7.2049999999999996E-3</v>
      </c>
    </row>
    <row r="16" spans="1:4" ht="51.75" customHeight="1">
      <c r="A16" s="18" t="s">
        <v>28</v>
      </c>
      <c r="B16" s="18" t="s">
        <v>29</v>
      </c>
      <c r="C16" s="25" t="s">
        <v>30</v>
      </c>
      <c r="D16" s="22">
        <f>(19.671875/19.8401091)</f>
        <v>0.99152050529802782</v>
      </c>
    </row>
    <row r="17" spans="1:4" ht="51.75" customHeight="1">
      <c r="A17" s="11" t="s">
        <v>28</v>
      </c>
      <c r="B17" s="11" t="s">
        <v>29</v>
      </c>
      <c r="C17" s="26" t="s">
        <v>31</v>
      </c>
      <c r="D17" s="23">
        <f>(1135212/(5.1*1024*1024))</f>
        <v>0.2122789270737592</v>
      </c>
    </row>
  </sheetData>
  <mergeCells count="4">
    <mergeCell ref="A5:D5"/>
    <mergeCell ref="A9:D9"/>
    <mergeCell ref="A12:D12"/>
    <mergeCell ref="A13:D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zoomScaleNormal="100" workbookViewId="0">
      <selection activeCell="D16" sqref="D16"/>
    </sheetView>
  </sheetViews>
  <sheetFormatPr defaultColWidth="8.7109375" defaultRowHeight="14.45"/>
  <cols>
    <col min="1" max="2" width="30" customWidth="1"/>
    <col min="3" max="4" width="34" customWidth="1"/>
  </cols>
  <sheetData>
    <row r="1" spans="1:4" ht="16.899999999999999" customHeight="1">
      <c r="A1" s="72" t="s">
        <v>37</v>
      </c>
      <c r="B1" s="81"/>
      <c r="C1" s="81"/>
      <c r="D1" s="81"/>
    </row>
    <row r="3" spans="1:4" ht="15"/>
    <row r="4" spans="1:4" ht="15">
      <c r="A4" s="7" t="s">
        <v>1</v>
      </c>
      <c r="B4" s="7" t="s">
        <v>2</v>
      </c>
      <c r="C4" s="7" t="s">
        <v>3</v>
      </c>
      <c r="D4" s="7" t="s">
        <v>4</v>
      </c>
    </row>
    <row r="5" spans="1:4" ht="15">
      <c r="A5" s="82" t="s">
        <v>5</v>
      </c>
      <c r="B5" s="83"/>
      <c r="C5" s="83"/>
      <c r="D5" s="84"/>
    </row>
    <row r="6" spans="1:4" ht="15">
      <c r="A6" s="1" t="s">
        <v>6</v>
      </c>
      <c r="B6" s="1" t="s">
        <v>7</v>
      </c>
      <c r="C6" s="1" t="s">
        <v>8</v>
      </c>
      <c r="D6" s="1">
        <f>3+1</f>
        <v>4</v>
      </c>
    </row>
    <row r="7" spans="1:4" ht="60.75">
      <c r="A7" s="4" t="s">
        <v>9</v>
      </c>
      <c r="B7" s="4" t="s">
        <v>10</v>
      </c>
      <c r="C7" s="5" t="s">
        <v>11</v>
      </c>
      <c r="D7" s="4" t="s">
        <v>38</v>
      </c>
    </row>
    <row r="8" spans="1:4" ht="28.9" customHeight="1"/>
    <row r="9" spans="1:4" ht="15">
      <c r="A9" s="85" t="s">
        <v>13</v>
      </c>
      <c r="B9" s="85"/>
      <c r="C9" s="85"/>
      <c r="D9" s="85"/>
    </row>
    <row r="10" spans="1:4" ht="45.75">
      <c r="A10" s="13" t="s">
        <v>14</v>
      </c>
      <c r="B10" s="11" t="s">
        <v>15</v>
      </c>
      <c r="C10" s="11" t="s">
        <v>16</v>
      </c>
      <c r="D10" s="1">
        <f>+(3/3)*100</f>
        <v>100</v>
      </c>
    </row>
    <row r="11" spans="1:4" ht="28.9" customHeight="1">
      <c r="A11" s="4" t="s">
        <v>17</v>
      </c>
      <c r="B11" s="4" t="s">
        <v>18</v>
      </c>
      <c r="C11" s="4" t="s">
        <v>19</v>
      </c>
      <c r="D11" s="8">
        <f>2/(2+0)</f>
        <v>1</v>
      </c>
    </row>
    <row r="12" spans="1:4" ht="15">
      <c r="A12" s="71"/>
      <c r="B12" s="71"/>
      <c r="C12" s="71"/>
      <c r="D12" s="71"/>
    </row>
    <row r="13" spans="1:4" ht="15">
      <c r="A13" s="85" t="s">
        <v>21</v>
      </c>
      <c r="B13" s="85"/>
      <c r="C13" s="85"/>
      <c r="D13" s="85"/>
    </row>
    <row r="14" spans="1:4" ht="30.75">
      <c r="A14" s="8" t="s">
        <v>22</v>
      </c>
      <c r="B14" s="8" t="s">
        <v>23</v>
      </c>
      <c r="C14" s="8" t="s">
        <v>24</v>
      </c>
      <c r="D14" s="8">
        <f>0/0.024</f>
        <v>0</v>
      </c>
    </row>
    <row r="15" spans="1:4" ht="30.75">
      <c r="A15" s="4" t="s">
        <v>25</v>
      </c>
      <c r="B15" s="4" t="s">
        <v>26</v>
      </c>
      <c r="C15" s="4" t="s">
        <v>27</v>
      </c>
      <c r="D15" s="4">
        <f>49.0521851-47.9342062</f>
        <v>1.1179789000000042</v>
      </c>
    </row>
    <row r="16" spans="1:4" ht="45.75">
      <c r="A16" s="11" t="s">
        <v>28</v>
      </c>
      <c r="B16" s="11" t="s">
        <v>29</v>
      </c>
      <c r="C16" s="11" t="s">
        <v>30</v>
      </c>
      <c r="D16" s="30">
        <f>((425468508 - 420380035) / 1000000) / 11.5643888 *100</f>
        <v>44.001227284921448</v>
      </c>
    </row>
    <row r="17" spans="1:4" ht="45.75">
      <c r="A17" s="11" t="s">
        <v>28</v>
      </c>
      <c r="B17" s="11" t="s">
        <v>29</v>
      </c>
      <c r="C17" s="26" t="s">
        <v>31</v>
      </c>
      <c r="D17" s="6">
        <f>+(87.85 / (11.6 * 1024)) * 100</f>
        <v>0.73957772090517238</v>
      </c>
    </row>
    <row r="20" spans="1:4" ht="15"/>
    <row r="21" spans="1:4" ht="15"/>
  </sheetData>
  <mergeCells count="5">
    <mergeCell ref="A1:D1"/>
    <mergeCell ref="A9:D9"/>
    <mergeCell ref="A12:D12"/>
    <mergeCell ref="A13:D13"/>
    <mergeCell ref="A5:D5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5961-84E5-4731-89E2-3CE8AD459B81}">
  <dimension ref="A1:D17"/>
  <sheetViews>
    <sheetView showGridLines="0" zoomScaleNormal="100" workbookViewId="0">
      <selection activeCell="A2" sqref="A2"/>
    </sheetView>
  </sheetViews>
  <sheetFormatPr defaultColWidth="8.7109375" defaultRowHeight="15"/>
  <cols>
    <col min="1" max="2" width="30" customWidth="1"/>
    <col min="3" max="4" width="34" customWidth="1"/>
  </cols>
  <sheetData>
    <row r="1" spans="1:4" ht="16.899999999999999" customHeight="1">
      <c r="A1" s="72" t="s">
        <v>39</v>
      </c>
      <c r="B1" s="81"/>
      <c r="C1" s="81"/>
      <c r="D1" s="81"/>
    </row>
    <row r="4" spans="1:4">
      <c r="A4" s="7" t="s">
        <v>1</v>
      </c>
      <c r="B4" s="7" t="s">
        <v>2</v>
      </c>
      <c r="C4" s="7" t="s">
        <v>3</v>
      </c>
      <c r="D4" s="7" t="s">
        <v>4</v>
      </c>
    </row>
    <row r="5" spans="1:4">
      <c r="A5" s="82" t="s">
        <v>5</v>
      </c>
      <c r="B5" s="83"/>
      <c r="C5" s="83"/>
      <c r="D5" s="84"/>
    </row>
    <row r="6" spans="1:4">
      <c r="A6" s="1" t="s">
        <v>6</v>
      </c>
      <c r="B6" s="1" t="s">
        <v>7</v>
      </c>
      <c r="C6" s="1" t="s">
        <v>8</v>
      </c>
      <c r="D6" s="1">
        <f>8+1</f>
        <v>9</v>
      </c>
    </row>
    <row r="7" spans="1:4" ht="60.75">
      <c r="A7" s="4" t="s">
        <v>9</v>
      </c>
      <c r="B7" s="4" t="s">
        <v>10</v>
      </c>
      <c r="C7" s="5" t="s">
        <v>11</v>
      </c>
      <c r="D7" s="4">
        <f>8+1+2</f>
        <v>11</v>
      </c>
    </row>
    <row r="8" spans="1:4" ht="28.9" customHeight="1"/>
    <row r="9" spans="1:4">
      <c r="A9" s="85" t="s">
        <v>13</v>
      </c>
      <c r="B9" s="85"/>
      <c r="C9" s="85"/>
      <c r="D9" s="85"/>
    </row>
    <row r="10" spans="1:4" ht="45.75">
      <c r="A10" s="13" t="s">
        <v>14</v>
      </c>
      <c r="B10" s="11" t="s">
        <v>15</v>
      </c>
      <c r="C10" s="11" t="s">
        <v>16</v>
      </c>
      <c r="D10" s="1">
        <f>28/33*100</f>
        <v>84.848484848484844</v>
      </c>
    </row>
    <row r="11" spans="1:4" ht="28.9" customHeight="1">
      <c r="A11" s="4" t="s">
        <v>17</v>
      </c>
      <c r="B11" s="4" t="s">
        <v>18</v>
      </c>
      <c r="C11" s="4" t="s">
        <v>19</v>
      </c>
      <c r="D11" s="8" t="s">
        <v>20</v>
      </c>
    </row>
    <row r="12" spans="1:4">
      <c r="A12" s="71"/>
      <c r="B12" s="71"/>
      <c r="C12" s="71"/>
      <c r="D12" s="71"/>
    </row>
    <row r="13" spans="1:4">
      <c r="A13" s="85" t="s">
        <v>21</v>
      </c>
      <c r="B13" s="85"/>
      <c r="C13" s="85"/>
      <c r="D13" s="85"/>
    </row>
    <row r="14" spans="1:4" ht="30.75">
      <c r="A14" s="8" t="s">
        <v>22</v>
      </c>
      <c r="B14" s="8" t="s">
        <v>23</v>
      </c>
      <c r="C14" s="8" t="s">
        <v>24</v>
      </c>
      <c r="D14" s="8">
        <f>1/0.565</f>
        <v>1.7699115044247788</v>
      </c>
    </row>
    <row r="15" spans="1:4" ht="30.75">
      <c r="A15" s="4" t="s">
        <v>25</v>
      </c>
      <c r="B15" s="4" t="s">
        <v>26</v>
      </c>
      <c r="C15" s="4" t="s">
        <v>27</v>
      </c>
      <c r="D15" s="4">
        <f>0.005-0</f>
        <v>5.0000000000000001E-3</v>
      </c>
    </row>
    <row r="16" spans="1:4" ht="45.75">
      <c r="A16" s="11" t="s">
        <v>28</v>
      </c>
      <c r="B16" s="11" t="s">
        <v>29</v>
      </c>
      <c r="C16" s="11" t="s">
        <v>30</v>
      </c>
      <c r="D16" s="30">
        <f>0.05/0.064336*100</f>
        <v>77.716985824421783</v>
      </c>
    </row>
    <row r="17" spans="1:4" ht="45.75">
      <c r="A17" s="11" t="s">
        <v>28</v>
      </c>
      <c r="B17" s="11" t="s">
        <v>29</v>
      </c>
      <c r="C17" s="26" t="s">
        <v>31</v>
      </c>
      <c r="D17" s="6">
        <f>65872/8024472*100</f>
        <v>0.82088890085229271</v>
      </c>
    </row>
  </sheetData>
  <mergeCells count="5">
    <mergeCell ref="A1:D1"/>
    <mergeCell ref="A5:D5"/>
    <mergeCell ref="A9:D9"/>
    <mergeCell ref="A12:D12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E34F4-30C4-48D8-8BEF-6D33D1C4C36B}">
  <dimension ref="A1:D17"/>
  <sheetViews>
    <sheetView topLeftCell="A7" workbookViewId="0">
      <selection activeCell="D17" sqref="D17"/>
    </sheetView>
  </sheetViews>
  <sheetFormatPr defaultRowHeight="15"/>
  <cols>
    <col min="1" max="4" width="27.85546875" customWidth="1"/>
  </cols>
  <sheetData>
    <row r="1" spans="1:4" ht="16.5">
      <c r="A1" s="9" t="s">
        <v>40</v>
      </c>
    </row>
    <row r="4" spans="1:4" ht="13.5" customHeight="1">
      <c r="A4" s="7" t="s">
        <v>1</v>
      </c>
      <c r="B4" s="7" t="s">
        <v>2</v>
      </c>
      <c r="C4" s="7" t="s">
        <v>3</v>
      </c>
      <c r="D4" s="7" t="s">
        <v>4</v>
      </c>
    </row>
    <row r="5" spans="1:4">
      <c r="A5" s="82" t="s">
        <v>5</v>
      </c>
      <c r="B5" s="83"/>
      <c r="C5" s="83"/>
      <c r="D5" s="84"/>
    </row>
    <row r="6" spans="1:4" ht="44.25" customHeight="1">
      <c r="A6" s="10" t="s">
        <v>6</v>
      </c>
      <c r="B6" s="10" t="s">
        <v>7</v>
      </c>
      <c r="C6" s="10" t="s">
        <v>8</v>
      </c>
      <c r="D6" s="10">
        <f>1+1</f>
        <v>2</v>
      </c>
    </row>
    <row r="7" spans="1:4" ht="83.25" customHeight="1">
      <c r="A7" s="11" t="s">
        <v>9</v>
      </c>
      <c r="B7" s="11" t="s">
        <v>10</v>
      </c>
      <c r="C7" s="12" t="s">
        <v>11</v>
      </c>
      <c r="D7" s="11" t="s">
        <v>35</v>
      </c>
    </row>
    <row r="8" spans="1:4">
      <c r="A8" s="3"/>
      <c r="B8" s="3"/>
      <c r="C8" s="3"/>
      <c r="D8" s="3"/>
    </row>
    <row r="9" spans="1:4">
      <c r="A9" s="85" t="s">
        <v>13</v>
      </c>
      <c r="B9" s="86"/>
      <c r="C9" s="86"/>
      <c r="D9" s="86"/>
    </row>
    <row r="10" spans="1:4" ht="58.5" customHeight="1">
      <c r="A10" s="13" t="s">
        <v>14</v>
      </c>
      <c r="B10" s="11" t="s">
        <v>15</v>
      </c>
      <c r="C10" s="11" t="s">
        <v>16</v>
      </c>
      <c r="D10" s="11">
        <f>+(2/2)*100</f>
        <v>100</v>
      </c>
    </row>
    <row r="11" spans="1:4" ht="72" customHeight="1">
      <c r="A11" s="11" t="s">
        <v>17</v>
      </c>
      <c r="B11" s="14" t="s">
        <v>18</v>
      </c>
      <c r="C11" s="14" t="s">
        <v>19</v>
      </c>
      <c r="D11" s="14">
        <v>0</v>
      </c>
    </row>
    <row r="12" spans="1:4">
      <c r="A12" s="71"/>
      <c r="B12" s="71"/>
      <c r="C12" s="71"/>
      <c r="D12" s="71"/>
    </row>
    <row r="13" spans="1:4">
      <c r="A13" s="86" t="s">
        <v>21</v>
      </c>
      <c r="B13" s="86"/>
      <c r="C13" s="86"/>
      <c r="D13" s="86"/>
    </row>
    <row r="14" spans="1:4" ht="59.25" customHeight="1">
      <c r="A14" s="14" t="s">
        <v>22</v>
      </c>
      <c r="B14" s="14" t="s">
        <v>23</v>
      </c>
      <c r="C14" s="13" t="s">
        <v>24</v>
      </c>
      <c r="D14" s="11">
        <f>0/(10/1000)</f>
        <v>0</v>
      </c>
    </row>
    <row r="15" spans="1:4" ht="48.75" customHeight="1">
      <c r="A15" s="11" t="s">
        <v>25</v>
      </c>
      <c r="B15" s="11" t="s">
        <v>26</v>
      </c>
      <c r="C15" s="15" t="s">
        <v>27</v>
      </c>
      <c r="D15" s="17">
        <f>5.7061315/1000</f>
        <v>5.7061314999999994E-3</v>
      </c>
    </row>
    <row r="16" spans="1:4" ht="60" customHeight="1">
      <c r="A16" s="18" t="s">
        <v>28</v>
      </c>
      <c r="B16" s="18" t="s">
        <v>29</v>
      </c>
      <c r="C16" s="25" t="s">
        <v>30</v>
      </c>
      <c r="D16" s="22">
        <f>0.90625/5.7061315</f>
        <v>0.1588203847037174</v>
      </c>
    </row>
    <row r="17" spans="1:4" ht="63.75" customHeight="1">
      <c r="A17" s="11" t="s">
        <v>28</v>
      </c>
      <c r="B17" s="11" t="s">
        <v>29</v>
      </c>
      <c r="C17" s="26" t="s">
        <v>31</v>
      </c>
      <c r="D17" s="23">
        <f>10468/(15.8*1024*1024)</f>
        <v>6.3183941418611545E-4</v>
      </c>
    </row>
  </sheetData>
  <mergeCells count="4">
    <mergeCell ref="A5:D5"/>
    <mergeCell ref="A9:D9"/>
    <mergeCell ref="A12:D12"/>
    <mergeCell ref="A13:D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6F1B0-1CCD-4929-9AF9-E23A282A3D08}">
  <dimension ref="A1:D17"/>
  <sheetViews>
    <sheetView topLeftCell="A9" workbookViewId="0">
      <selection activeCell="D17" sqref="D17"/>
    </sheetView>
  </sheetViews>
  <sheetFormatPr defaultRowHeight="15"/>
  <cols>
    <col min="1" max="4" width="23.28515625" customWidth="1"/>
  </cols>
  <sheetData>
    <row r="1" spans="1:4" ht="16.5">
      <c r="A1" s="9" t="s">
        <v>41</v>
      </c>
    </row>
    <row r="4" spans="1:4" ht="18" customHeight="1">
      <c r="A4" s="7" t="s">
        <v>1</v>
      </c>
      <c r="B4" s="7" t="s">
        <v>2</v>
      </c>
      <c r="C4" s="7" t="s">
        <v>3</v>
      </c>
      <c r="D4" s="7" t="s">
        <v>4</v>
      </c>
    </row>
    <row r="5" spans="1:4">
      <c r="A5" s="82" t="s">
        <v>5</v>
      </c>
      <c r="B5" s="83"/>
      <c r="C5" s="83"/>
      <c r="D5" s="84"/>
    </row>
    <row r="6" spans="1:4" ht="49.5" customHeight="1">
      <c r="A6" s="10" t="s">
        <v>6</v>
      </c>
      <c r="B6" s="10" t="s">
        <v>7</v>
      </c>
      <c r="C6" s="10" t="s">
        <v>8</v>
      </c>
      <c r="D6" s="10">
        <f>2+1</f>
        <v>3</v>
      </c>
    </row>
    <row r="7" spans="1:4" ht="75.75" customHeight="1">
      <c r="A7" s="11" t="s">
        <v>9</v>
      </c>
      <c r="B7" s="11" t="s">
        <v>10</v>
      </c>
      <c r="C7" s="12" t="s">
        <v>11</v>
      </c>
      <c r="D7" s="11" t="s">
        <v>38</v>
      </c>
    </row>
    <row r="8" spans="1:4">
      <c r="A8" s="3"/>
      <c r="B8" s="3"/>
      <c r="C8" s="3"/>
      <c r="D8" s="3"/>
    </row>
    <row r="9" spans="1:4">
      <c r="A9" s="85" t="s">
        <v>13</v>
      </c>
      <c r="B9" s="86"/>
      <c r="C9" s="86"/>
      <c r="D9" s="86"/>
    </row>
    <row r="10" spans="1:4" ht="63" customHeight="1">
      <c r="A10" s="13" t="s">
        <v>14</v>
      </c>
      <c r="B10" s="11" t="s">
        <v>15</v>
      </c>
      <c r="C10" s="11" t="s">
        <v>16</v>
      </c>
      <c r="D10" s="11">
        <f>+(3/3)*100</f>
        <v>100</v>
      </c>
    </row>
    <row r="11" spans="1:4" ht="72.75" customHeight="1">
      <c r="A11" s="11" t="s">
        <v>17</v>
      </c>
      <c r="B11" s="14" t="s">
        <v>18</v>
      </c>
      <c r="C11" s="14" t="s">
        <v>19</v>
      </c>
      <c r="D11" s="14">
        <v>0</v>
      </c>
    </row>
    <row r="12" spans="1:4">
      <c r="A12" s="71"/>
      <c r="B12" s="71"/>
      <c r="C12" s="71"/>
      <c r="D12" s="71"/>
    </row>
    <row r="13" spans="1:4">
      <c r="A13" s="86" t="s">
        <v>21</v>
      </c>
      <c r="B13" s="86"/>
      <c r="C13" s="86"/>
      <c r="D13" s="86"/>
    </row>
    <row r="14" spans="1:4" ht="58.5" customHeight="1">
      <c r="A14" s="14" t="s">
        <v>22</v>
      </c>
      <c r="B14" s="14" t="s">
        <v>23</v>
      </c>
      <c r="C14" s="13" t="s">
        <v>24</v>
      </c>
      <c r="D14" s="11">
        <f>0/(10/1000)</f>
        <v>0</v>
      </c>
    </row>
    <row r="15" spans="1:4" ht="70.5" customHeight="1">
      <c r="A15" s="11" t="s">
        <v>25</v>
      </c>
      <c r="B15" s="11" t="s">
        <v>26</v>
      </c>
      <c r="C15" s="15" t="s">
        <v>27</v>
      </c>
      <c r="D15" s="17">
        <f>2.6979124/1000</f>
        <v>2.6979123999999999E-3</v>
      </c>
    </row>
    <row r="16" spans="1:4" ht="72" customHeight="1">
      <c r="A16" s="18" t="s">
        <v>28</v>
      </c>
      <c r="B16" s="18" t="s">
        <v>29</v>
      </c>
      <c r="C16" s="25" t="s">
        <v>30</v>
      </c>
      <c r="D16" s="22">
        <f>0.71875/2.6979124</f>
        <v>0.26640968772744439</v>
      </c>
    </row>
    <row r="17" spans="1:4" ht="67.5" customHeight="1">
      <c r="A17" s="11" t="s">
        <v>28</v>
      </c>
      <c r="B17" s="11" t="s">
        <v>29</v>
      </c>
      <c r="C17" s="26" t="s">
        <v>31</v>
      </c>
      <c r="D17" s="23">
        <f>10604/(15.8*1024*1024)</f>
        <v>6.400482564032832E-4</v>
      </c>
    </row>
  </sheetData>
  <mergeCells count="4">
    <mergeCell ref="A5:D5"/>
    <mergeCell ref="A9:D9"/>
    <mergeCell ref="A12:D12"/>
    <mergeCell ref="A13:D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showGridLines="0" zoomScaleNormal="100" workbookViewId="0">
      <selection activeCell="D16" sqref="D16"/>
    </sheetView>
  </sheetViews>
  <sheetFormatPr defaultColWidth="8.7109375" defaultRowHeight="14.45"/>
  <cols>
    <col min="1" max="2" width="30" customWidth="1"/>
    <col min="3" max="4" width="34" customWidth="1"/>
  </cols>
  <sheetData>
    <row r="1" spans="1:4" ht="16.899999999999999" customHeight="1">
      <c r="A1" s="72" t="s">
        <v>42</v>
      </c>
      <c r="B1" s="81"/>
      <c r="C1" s="81"/>
      <c r="D1" s="81"/>
    </row>
    <row r="4" spans="1:4" ht="15">
      <c r="A4" s="7" t="s">
        <v>1</v>
      </c>
      <c r="B4" s="7" t="s">
        <v>2</v>
      </c>
      <c r="C4" s="7" t="s">
        <v>3</v>
      </c>
      <c r="D4" s="7" t="s">
        <v>4</v>
      </c>
    </row>
    <row r="5" spans="1:4" ht="15">
      <c r="A5" s="82" t="s">
        <v>5</v>
      </c>
      <c r="B5" s="83"/>
      <c r="C5" s="83"/>
      <c r="D5" s="84"/>
    </row>
    <row r="6" spans="1:4" ht="15">
      <c r="A6" s="1" t="s">
        <v>6</v>
      </c>
      <c r="B6" s="1" t="s">
        <v>7</v>
      </c>
      <c r="C6" s="1" t="s">
        <v>8</v>
      </c>
      <c r="D6" s="1">
        <f>4+1</f>
        <v>5</v>
      </c>
    </row>
    <row r="7" spans="1:4" ht="60.75">
      <c r="A7" s="4" t="s">
        <v>9</v>
      </c>
      <c r="B7" s="4" t="s">
        <v>10</v>
      </c>
      <c r="C7" s="5" t="s">
        <v>11</v>
      </c>
      <c r="D7" s="4" t="s">
        <v>33</v>
      </c>
    </row>
    <row r="8" spans="1:4" ht="15"/>
    <row r="9" spans="1:4" ht="15">
      <c r="A9" s="70" t="s">
        <v>13</v>
      </c>
      <c r="B9" s="70"/>
      <c r="C9" s="70"/>
      <c r="D9" s="70"/>
    </row>
    <row r="10" spans="1:4" ht="45.75">
      <c r="A10" s="13" t="s">
        <v>14</v>
      </c>
      <c r="B10" s="11" t="s">
        <v>15</v>
      </c>
      <c r="C10" s="11" t="s">
        <v>16</v>
      </c>
      <c r="D10" s="14">
        <f>+(5/5)*100</f>
        <v>100</v>
      </c>
    </row>
    <row r="11" spans="1:4" ht="58.5" customHeight="1">
      <c r="A11" s="11" t="s">
        <v>17</v>
      </c>
      <c r="B11" s="11" t="s">
        <v>18</v>
      </c>
      <c r="C11" s="11" t="s">
        <v>19</v>
      </c>
      <c r="D11" s="14" t="s">
        <v>20</v>
      </c>
    </row>
    <row r="12" spans="1:4" ht="15">
      <c r="A12" s="64"/>
      <c r="B12" s="64"/>
      <c r="C12" s="64"/>
      <c r="D12" s="64"/>
    </row>
    <row r="13" spans="1:4" ht="15">
      <c r="A13" s="70" t="s">
        <v>21</v>
      </c>
      <c r="B13" s="70"/>
      <c r="C13" s="70"/>
      <c r="D13" s="70"/>
    </row>
    <row r="14" spans="1:4" ht="30.75">
      <c r="A14" s="14" t="s">
        <v>22</v>
      </c>
      <c r="B14" s="14" t="s">
        <v>23</v>
      </c>
      <c r="C14" s="14" t="s">
        <v>24</v>
      </c>
      <c r="D14" s="14">
        <f>0/0.029</f>
        <v>0</v>
      </c>
    </row>
    <row r="15" spans="1:4" ht="30.75">
      <c r="A15" s="11" t="s">
        <v>25</v>
      </c>
      <c r="B15" s="11" t="s">
        <v>26</v>
      </c>
      <c r="C15" s="11" t="s">
        <v>27</v>
      </c>
      <c r="D15" s="18">
        <f>25.5301589-24.305454</f>
        <v>1.224704899999999</v>
      </c>
    </row>
    <row r="16" spans="1:4" ht="45.75">
      <c r="A16" s="11" t="s">
        <v>28</v>
      </c>
      <c r="B16" s="11" t="s">
        <v>29</v>
      </c>
      <c r="C16" s="15" t="s">
        <v>30</v>
      </c>
      <c r="D16" s="28">
        <f>+(646075832-637454350)/(29.2699749 *1000000)*100</f>
        <v>29.455037216311382</v>
      </c>
    </row>
    <row r="17" spans="1:4" ht="45.75">
      <c r="A17" s="11" t="s">
        <v>28</v>
      </c>
      <c r="B17" s="11" t="s">
        <v>29</v>
      </c>
      <c r="C17" s="26" t="s">
        <v>31</v>
      </c>
      <c r="D17" s="37">
        <f>88.46/(11.6*1024)*100</f>
        <v>0.7447130926724137</v>
      </c>
    </row>
    <row r="18" spans="1:4" ht="15"/>
  </sheetData>
  <mergeCells count="5">
    <mergeCell ref="A1:D1"/>
    <mergeCell ref="A9:D9"/>
    <mergeCell ref="A12:D12"/>
    <mergeCell ref="A13:D13"/>
    <mergeCell ref="A5:D5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2A69-B844-451F-8598-D96F00BA06BA}">
  <dimension ref="A1:E17"/>
  <sheetViews>
    <sheetView showGridLines="0" zoomScaleNormal="100" workbookViewId="0">
      <selection activeCell="D15" sqref="D15"/>
    </sheetView>
  </sheetViews>
  <sheetFormatPr defaultColWidth="8.7109375" defaultRowHeight="15"/>
  <cols>
    <col min="1" max="2" width="30" customWidth="1"/>
    <col min="3" max="4" width="34" customWidth="1"/>
    <col min="5" max="5" width="26.140625" customWidth="1"/>
  </cols>
  <sheetData>
    <row r="1" spans="1:5" ht="16.899999999999999" customHeight="1">
      <c r="A1" s="72" t="s">
        <v>43</v>
      </c>
      <c r="B1" s="81"/>
      <c r="C1" s="81"/>
      <c r="D1" s="81"/>
    </row>
    <row r="4" spans="1:5">
      <c r="A4" s="32" t="s">
        <v>1</v>
      </c>
      <c r="B4" s="32" t="s">
        <v>2</v>
      </c>
      <c r="C4" s="32" t="s">
        <v>3</v>
      </c>
      <c r="D4" s="32" t="s">
        <v>4</v>
      </c>
      <c r="E4" s="2"/>
    </row>
    <row r="5" spans="1:5">
      <c r="A5" s="73" t="s">
        <v>5</v>
      </c>
      <c r="B5" s="74"/>
      <c r="C5" s="74"/>
      <c r="D5" s="75"/>
      <c r="E5" s="2"/>
    </row>
    <row r="6" spans="1:5">
      <c r="A6" s="10" t="s">
        <v>6</v>
      </c>
      <c r="B6" s="10" t="s">
        <v>7</v>
      </c>
      <c r="C6" s="10" t="s">
        <v>8</v>
      </c>
      <c r="D6" s="10">
        <f>2+1</f>
        <v>3</v>
      </c>
      <c r="E6" s="2"/>
    </row>
    <row r="7" spans="1:5" ht="60.75">
      <c r="A7" s="11" t="s">
        <v>9</v>
      </c>
      <c r="B7" s="11" t="s">
        <v>10</v>
      </c>
      <c r="C7" s="12" t="s">
        <v>11</v>
      </c>
      <c r="D7" s="11" t="s">
        <v>35</v>
      </c>
      <c r="E7" s="2"/>
    </row>
    <row r="8" spans="1:5">
      <c r="A8" s="31"/>
      <c r="B8" s="31"/>
      <c r="C8" s="31"/>
      <c r="D8" s="31"/>
    </row>
    <row r="9" spans="1:5">
      <c r="A9" s="76" t="s">
        <v>13</v>
      </c>
      <c r="B9" s="77"/>
      <c r="C9" s="77"/>
      <c r="D9" s="78"/>
    </row>
    <row r="10" spans="1:5" ht="45.75">
      <c r="A10" s="13" t="s">
        <v>14</v>
      </c>
      <c r="B10" s="11" t="s">
        <v>15</v>
      </c>
      <c r="C10" s="11" t="s">
        <v>16</v>
      </c>
      <c r="D10" s="14">
        <f>7/7*100</f>
        <v>100</v>
      </c>
    </row>
    <row r="11" spans="1:5" ht="58.5" customHeight="1">
      <c r="A11" s="11" t="s">
        <v>17</v>
      </c>
      <c r="B11" s="11" t="s">
        <v>18</v>
      </c>
      <c r="C11" s="11" t="s">
        <v>19</v>
      </c>
      <c r="D11" s="27" t="s">
        <v>20</v>
      </c>
    </row>
    <row r="12" spans="1:5">
      <c r="A12" s="79"/>
      <c r="B12" s="79"/>
      <c r="C12" s="79"/>
      <c r="D12" s="79"/>
    </row>
    <row r="13" spans="1:5">
      <c r="A13" s="80" t="s">
        <v>21</v>
      </c>
      <c r="B13" s="80"/>
      <c r="C13" s="80"/>
      <c r="D13" s="80"/>
    </row>
    <row r="14" spans="1:5" ht="30.75">
      <c r="A14" s="14" t="s">
        <v>22</v>
      </c>
      <c r="B14" s="14" t="s">
        <v>23</v>
      </c>
      <c r="C14" s="14" t="s">
        <v>24</v>
      </c>
      <c r="D14" s="14">
        <f>1/0.229</f>
        <v>4.3668122270742353</v>
      </c>
    </row>
    <row r="15" spans="1:5" ht="30.75">
      <c r="A15" s="11" t="s">
        <v>25</v>
      </c>
      <c r="B15" s="11" t="s">
        <v>26</v>
      </c>
      <c r="C15" s="11" t="s">
        <v>27</v>
      </c>
      <c r="D15" s="18">
        <f>0.093-0</f>
        <v>9.2999999999999999E-2</v>
      </c>
    </row>
    <row r="16" spans="1:5" ht="45.75">
      <c r="A16" s="11" t="s">
        <v>28</v>
      </c>
      <c r="B16" s="11" t="s">
        <v>29</v>
      </c>
      <c r="C16" s="15" t="s">
        <v>30</v>
      </c>
      <c r="D16" s="11">
        <f>0.39/0.682473*100</f>
        <v>57.145117828837186</v>
      </c>
    </row>
    <row r="17" spans="1:4" ht="45.75">
      <c r="A17" s="11" t="s">
        <v>28</v>
      </c>
      <c r="B17" s="11" t="s">
        <v>29</v>
      </c>
      <c r="C17" s="26" t="s">
        <v>31</v>
      </c>
      <c r="D17" s="21">
        <f>65896/8024472*100</f>
        <v>0.82118798595097608</v>
      </c>
    </row>
  </sheetData>
  <mergeCells count="5">
    <mergeCell ref="A1:D1"/>
    <mergeCell ref="A5:D5"/>
    <mergeCell ref="A9:D9"/>
    <mergeCell ref="A12:D12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zoomScaleNormal="100" workbookViewId="0">
      <selection activeCell="D16" sqref="D16"/>
    </sheetView>
  </sheetViews>
  <sheetFormatPr defaultColWidth="8.7109375" defaultRowHeight="14.45"/>
  <cols>
    <col min="1" max="2" width="30" customWidth="1"/>
    <col min="3" max="4" width="34" customWidth="1"/>
    <col min="5" max="5" width="26.140625" customWidth="1"/>
  </cols>
  <sheetData>
    <row r="1" spans="1:5" ht="16.899999999999999" customHeight="1">
      <c r="A1" s="72" t="s">
        <v>44</v>
      </c>
      <c r="B1" s="81"/>
      <c r="C1" s="81"/>
      <c r="D1" s="81"/>
    </row>
    <row r="4" spans="1:5" ht="15">
      <c r="A4" s="32" t="s">
        <v>1</v>
      </c>
      <c r="B4" s="32" t="s">
        <v>2</v>
      </c>
      <c r="C4" s="32" t="s">
        <v>3</v>
      </c>
      <c r="D4" s="32" t="s">
        <v>4</v>
      </c>
      <c r="E4" s="2"/>
    </row>
    <row r="5" spans="1:5" ht="15">
      <c r="A5" s="73" t="s">
        <v>5</v>
      </c>
      <c r="B5" s="74"/>
      <c r="C5" s="74"/>
      <c r="D5" s="75"/>
      <c r="E5" s="2"/>
    </row>
    <row r="6" spans="1:5" ht="15">
      <c r="A6" s="10" t="s">
        <v>6</v>
      </c>
      <c r="B6" s="10" t="s">
        <v>7</v>
      </c>
      <c r="C6" s="10" t="s">
        <v>8</v>
      </c>
      <c r="D6" s="10">
        <f>6+1</f>
        <v>7</v>
      </c>
      <c r="E6" s="2"/>
    </row>
    <row r="7" spans="1:5" ht="60.75">
      <c r="A7" s="11" t="s">
        <v>9</v>
      </c>
      <c r="B7" s="11" t="s">
        <v>10</v>
      </c>
      <c r="C7" s="12" t="s">
        <v>11</v>
      </c>
      <c r="D7" s="11" t="s">
        <v>45</v>
      </c>
      <c r="E7" s="2"/>
    </row>
    <row r="8" spans="1:5" ht="15">
      <c r="A8" s="31"/>
      <c r="B8" s="31"/>
      <c r="C8" s="31"/>
      <c r="D8" s="31"/>
    </row>
    <row r="9" spans="1:5" ht="15">
      <c r="A9" s="76" t="s">
        <v>13</v>
      </c>
      <c r="B9" s="77"/>
      <c r="C9" s="77"/>
      <c r="D9" s="78"/>
    </row>
    <row r="10" spans="1:5" ht="45.75">
      <c r="A10" s="13" t="s">
        <v>14</v>
      </c>
      <c r="B10" s="11" t="s">
        <v>15</v>
      </c>
      <c r="C10" s="11" t="s">
        <v>16</v>
      </c>
      <c r="D10" s="14">
        <f>+(6/6)*100</f>
        <v>100</v>
      </c>
    </row>
    <row r="11" spans="1:5" ht="58.5" customHeight="1">
      <c r="A11" s="11" t="s">
        <v>17</v>
      </c>
      <c r="B11" s="11" t="s">
        <v>18</v>
      </c>
      <c r="C11" s="11" t="s">
        <v>19</v>
      </c>
      <c r="D11" s="27">
        <f>1/(1-0)</f>
        <v>1</v>
      </c>
    </row>
    <row r="12" spans="1:5" ht="15">
      <c r="A12" s="79"/>
      <c r="B12" s="79"/>
      <c r="C12" s="79"/>
      <c r="D12" s="79"/>
    </row>
    <row r="13" spans="1:5" ht="15">
      <c r="A13" s="80" t="s">
        <v>21</v>
      </c>
      <c r="B13" s="80"/>
      <c r="C13" s="80"/>
      <c r="D13" s="80"/>
    </row>
    <row r="14" spans="1:5" ht="30.75">
      <c r="A14" s="14" t="s">
        <v>22</v>
      </c>
      <c r="B14" s="14" t="s">
        <v>23</v>
      </c>
      <c r="C14" s="14" t="s">
        <v>24</v>
      </c>
      <c r="D14" s="14">
        <f>1/0.033</f>
        <v>30.303030303030301</v>
      </c>
    </row>
    <row r="15" spans="1:5" ht="30.75">
      <c r="A15" s="11" t="s">
        <v>25</v>
      </c>
      <c r="B15" s="11" t="s">
        <v>26</v>
      </c>
      <c r="C15" s="11" t="s">
        <v>27</v>
      </c>
      <c r="D15" s="18">
        <f>1.6497275-1.2381776</f>
        <v>0.41154990000000002</v>
      </c>
    </row>
    <row r="16" spans="1:5" ht="45.75">
      <c r="A16" s="11" t="s">
        <v>28</v>
      </c>
      <c r="B16" s="11" t="s">
        <v>29</v>
      </c>
      <c r="C16" s="15" t="s">
        <v>30</v>
      </c>
      <c r="D16" s="11">
        <f>+(582898395- 577696307)/(22.5377469 *1000000)*100</f>
        <v>23.081668380968466</v>
      </c>
    </row>
    <row r="17" spans="1:4" ht="45.75">
      <c r="A17" s="11" t="s">
        <v>28</v>
      </c>
      <c r="B17" s="11" t="s">
        <v>29</v>
      </c>
      <c r="C17" s="26" t="s">
        <v>31</v>
      </c>
      <c r="D17" s="21">
        <f>88.39 / (11.6 * 1024) * 100</f>
        <v>0.74412378771551735</v>
      </c>
    </row>
    <row r="18" spans="1:4" ht="15"/>
    <row r="20" spans="1:4" ht="15"/>
    <row r="21" spans="1:4" ht="15"/>
  </sheetData>
  <mergeCells count="5">
    <mergeCell ref="A13:D13"/>
    <mergeCell ref="A12:D12"/>
    <mergeCell ref="A9:D9"/>
    <mergeCell ref="A1:D1"/>
    <mergeCell ref="A5:D5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showGridLines="0" zoomScaleNormal="100" workbookViewId="0">
      <selection activeCell="D14" sqref="D14"/>
    </sheetView>
  </sheetViews>
  <sheetFormatPr defaultColWidth="8.7109375" defaultRowHeight="14.45"/>
  <cols>
    <col min="1" max="2" width="30" customWidth="1"/>
    <col min="3" max="4" width="34" customWidth="1"/>
  </cols>
  <sheetData>
    <row r="1" spans="1:4" ht="16.899999999999999" customHeight="1">
      <c r="A1" s="72" t="s">
        <v>46</v>
      </c>
      <c r="B1" s="81"/>
      <c r="C1" s="81"/>
      <c r="D1" s="81"/>
    </row>
    <row r="4" spans="1:4" ht="15">
      <c r="A4" s="7" t="s">
        <v>1</v>
      </c>
      <c r="B4" s="7" t="s">
        <v>2</v>
      </c>
      <c r="C4" s="7" t="s">
        <v>3</v>
      </c>
      <c r="D4" s="7" t="s">
        <v>4</v>
      </c>
    </row>
    <row r="5" spans="1:4" ht="15">
      <c r="A5" s="82" t="s">
        <v>5</v>
      </c>
      <c r="B5" s="83"/>
      <c r="C5" s="83"/>
      <c r="D5" s="84"/>
    </row>
    <row r="6" spans="1:4" ht="15">
      <c r="A6" s="33" t="s">
        <v>6</v>
      </c>
      <c r="B6" s="33" t="s">
        <v>7</v>
      </c>
      <c r="C6" s="33" t="s">
        <v>8</v>
      </c>
      <c r="D6" s="33">
        <f>2+1</f>
        <v>3</v>
      </c>
    </row>
    <row r="7" spans="1:4" ht="60.75">
      <c r="A7" s="34" t="s">
        <v>9</v>
      </c>
      <c r="B7" s="34" t="s">
        <v>10</v>
      </c>
      <c r="C7" s="35" t="s">
        <v>11</v>
      </c>
      <c r="D7" s="34" t="s">
        <v>35</v>
      </c>
    </row>
    <row r="8" spans="1:4" ht="15"/>
    <row r="9" spans="1:4" ht="15">
      <c r="A9" s="85" t="s">
        <v>13</v>
      </c>
      <c r="B9" s="85"/>
      <c r="C9" s="85"/>
      <c r="D9" s="85"/>
    </row>
    <row r="10" spans="1:4" ht="45.75">
      <c r="A10" s="13" t="s">
        <v>14</v>
      </c>
      <c r="B10" s="11" t="s">
        <v>15</v>
      </c>
      <c r="C10" s="11" t="s">
        <v>16</v>
      </c>
      <c r="D10" s="36">
        <v>100</v>
      </c>
    </row>
    <row r="11" spans="1:4" ht="45.75">
      <c r="A11" s="34" t="s">
        <v>17</v>
      </c>
      <c r="B11" s="34" t="s">
        <v>18</v>
      </c>
      <c r="C11" s="34" t="s">
        <v>19</v>
      </c>
      <c r="D11" s="34" t="s">
        <v>20</v>
      </c>
    </row>
    <row r="12" spans="1:4" ht="15">
      <c r="A12" s="71"/>
      <c r="B12" s="71"/>
      <c r="C12" s="71"/>
      <c r="D12" s="71"/>
    </row>
    <row r="13" spans="1:4" ht="15">
      <c r="A13" s="85" t="s">
        <v>21</v>
      </c>
      <c r="B13" s="85"/>
      <c r="C13" s="85"/>
      <c r="D13" s="85"/>
    </row>
    <row r="14" spans="1:4" ht="30.75">
      <c r="A14" s="36" t="s">
        <v>22</v>
      </c>
      <c r="B14" s="36" t="s">
        <v>23</v>
      </c>
      <c r="C14" s="36" t="s">
        <v>24</v>
      </c>
      <c r="D14" s="34">
        <f>0/0.021</f>
        <v>0</v>
      </c>
    </row>
    <row r="15" spans="1:4" ht="30.75">
      <c r="A15" s="34" t="s">
        <v>25</v>
      </c>
      <c r="B15" s="34" t="s">
        <v>26</v>
      </c>
      <c r="C15" s="34" t="s">
        <v>27</v>
      </c>
      <c r="D15" s="38">
        <f>19.3766985-19.2893153</f>
        <v>8.7383200000001438E-2</v>
      </c>
    </row>
    <row r="16" spans="1:4" ht="45.75">
      <c r="A16" s="11" t="s">
        <v>28</v>
      </c>
      <c r="B16" s="11" t="s">
        <v>29</v>
      </c>
      <c r="C16" s="15" t="s">
        <v>30</v>
      </c>
      <c r="D16" s="34">
        <f>+(616160301-614367330)/(18.0648938*1000000)*100</f>
        <v>9.9251676752176632</v>
      </c>
    </row>
    <row r="17" spans="1:4" ht="45.75">
      <c r="A17" s="11" t="s">
        <v>28</v>
      </c>
      <c r="B17" s="11" t="s">
        <v>29</v>
      </c>
      <c r="C17" s="26" t="s">
        <v>31</v>
      </c>
      <c r="D17" s="37">
        <f>88.5/(11.6*1024)*100</f>
        <v>0.74504983836206895</v>
      </c>
    </row>
    <row r="18" spans="1:4" ht="15"/>
  </sheetData>
  <mergeCells count="5">
    <mergeCell ref="A1:D1"/>
    <mergeCell ref="A9:D9"/>
    <mergeCell ref="A12:D12"/>
    <mergeCell ref="A13:D13"/>
    <mergeCell ref="A5:D5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26B6-5717-4BD6-A5CC-030C65DD112D}">
  <dimension ref="A1:D17"/>
  <sheetViews>
    <sheetView workbookViewId="0">
      <selection activeCell="D17" sqref="D17"/>
    </sheetView>
  </sheetViews>
  <sheetFormatPr defaultRowHeight="15"/>
  <cols>
    <col min="1" max="4" width="33.5703125" customWidth="1"/>
  </cols>
  <sheetData>
    <row r="1" spans="1:4" ht="16.5">
      <c r="A1" s="9" t="s">
        <v>47</v>
      </c>
    </row>
    <row r="4" spans="1:4" ht="17.25" customHeight="1">
      <c r="A4" s="7" t="s">
        <v>1</v>
      </c>
      <c r="B4" s="7" t="s">
        <v>2</v>
      </c>
      <c r="C4" s="7" t="s">
        <v>3</v>
      </c>
      <c r="D4" s="7" t="s">
        <v>4</v>
      </c>
    </row>
    <row r="5" spans="1:4">
      <c r="A5" s="82" t="s">
        <v>5</v>
      </c>
      <c r="B5" s="83"/>
      <c r="C5" s="83"/>
      <c r="D5" s="84"/>
    </row>
    <row r="6" spans="1:4" ht="30" customHeight="1">
      <c r="A6" s="10" t="s">
        <v>6</v>
      </c>
      <c r="B6" s="10" t="s">
        <v>7</v>
      </c>
      <c r="C6" s="10" t="s">
        <v>8</v>
      </c>
      <c r="D6" s="10">
        <v>5</v>
      </c>
    </row>
    <row r="7" spans="1:4" ht="75.75" customHeight="1">
      <c r="A7" s="11" t="s">
        <v>9</v>
      </c>
      <c r="B7" s="11" t="s">
        <v>10</v>
      </c>
      <c r="C7" s="12" t="s">
        <v>11</v>
      </c>
      <c r="D7" s="11" t="s">
        <v>33</v>
      </c>
    </row>
    <row r="8" spans="1:4">
      <c r="A8" s="3"/>
      <c r="B8" s="3"/>
      <c r="C8" s="3"/>
      <c r="D8" s="3"/>
    </row>
    <row r="9" spans="1:4">
      <c r="A9" s="85" t="s">
        <v>13</v>
      </c>
      <c r="B9" s="86"/>
      <c r="C9" s="86"/>
      <c r="D9" s="86"/>
    </row>
    <row r="10" spans="1:4" ht="57.75" customHeight="1">
      <c r="A10" s="13" t="s">
        <v>14</v>
      </c>
      <c r="B10" s="11" t="s">
        <v>15</v>
      </c>
      <c r="C10" s="11" t="s">
        <v>16</v>
      </c>
      <c r="D10" s="11">
        <v>90</v>
      </c>
    </row>
    <row r="11" spans="1:4" ht="73.5" customHeight="1">
      <c r="A11" s="11" t="s">
        <v>17</v>
      </c>
      <c r="B11" s="14" t="s">
        <v>18</v>
      </c>
      <c r="C11" s="14" t="s">
        <v>19</v>
      </c>
      <c r="D11" s="14" t="s">
        <v>20</v>
      </c>
    </row>
    <row r="12" spans="1:4">
      <c r="A12" s="71"/>
      <c r="B12" s="71"/>
      <c r="C12" s="71"/>
      <c r="D12" s="71"/>
    </row>
    <row r="13" spans="1:4">
      <c r="A13" s="86" t="s">
        <v>21</v>
      </c>
      <c r="B13" s="86"/>
      <c r="C13" s="86"/>
      <c r="D13" s="86"/>
    </row>
    <row r="14" spans="1:4" ht="49.5" customHeight="1">
      <c r="A14" s="14" t="s">
        <v>22</v>
      </c>
      <c r="B14" s="14" t="s">
        <v>23</v>
      </c>
      <c r="C14" s="13" t="s">
        <v>24</v>
      </c>
      <c r="D14" s="11">
        <f>1/(35/1000)</f>
        <v>28.571428571428569</v>
      </c>
    </row>
    <row r="15" spans="1:4" ht="63.75" customHeight="1">
      <c r="A15" s="11" t="s">
        <v>25</v>
      </c>
      <c r="B15" s="11" t="s">
        <v>26</v>
      </c>
      <c r="C15" s="15" t="s">
        <v>27</v>
      </c>
      <c r="D15" s="17">
        <f>2.7642601/1000</f>
        <v>2.7642601000000002E-3</v>
      </c>
    </row>
    <row r="16" spans="1:4" ht="51.75" customHeight="1">
      <c r="A16" s="18" t="s">
        <v>28</v>
      </c>
      <c r="B16" s="18" t="s">
        <v>29</v>
      </c>
      <c r="C16" s="25" t="s">
        <v>30</v>
      </c>
      <c r="D16" s="22">
        <f>0.25/0.378239</f>
        <v>0.66095775422418102</v>
      </c>
    </row>
    <row r="17" spans="1:4" ht="69.75" customHeight="1">
      <c r="A17" s="11" t="s">
        <v>28</v>
      </c>
      <c r="B17" s="11" t="s">
        <v>29</v>
      </c>
      <c r="C17" s="26" t="s">
        <v>31</v>
      </c>
      <c r="D17" s="23">
        <f>10608/(15.8*1024*1024)</f>
        <v>6.4028969293908225E-4</v>
      </c>
    </row>
  </sheetData>
  <mergeCells count="4">
    <mergeCell ref="A5:D5"/>
    <mergeCell ref="A9:D9"/>
    <mergeCell ref="A12:D12"/>
    <mergeCell ref="A13:D1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FD7F5-D7A8-420C-8B20-F7521C8357C1}">
  <dimension ref="A1:E17"/>
  <sheetViews>
    <sheetView topLeftCell="B1" workbookViewId="0">
      <selection activeCell="D8" sqref="D8"/>
    </sheetView>
  </sheetViews>
  <sheetFormatPr defaultRowHeight="15"/>
  <cols>
    <col min="1" max="4" width="33.5703125" customWidth="1"/>
  </cols>
  <sheetData>
    <row r="1" spans="1:5" ht="16.5">
      <c r="A1" s="9" t="s">
        <v>48</v>
      </c>
    </row>
    <row r="4" spans="1:5" ht="17.25" customHeight="1">
      <c r="A4" s="7" t="s">
        <v>1</v>
      </c>
      <c r="B4" s="7" t="s">
        <v>2</v>
      </c>
      <c r="C4" s="7" t="s">
        <v>3</v>
      </c>
      <c r="D4" s="7" t="s">
        <v>4</v>
      </c>
    </row>
    <row r="5" spans="1:5">
      <c r="A5" s="82" t="s">
        <v>5</v>
      </c>
      <c r="B5" s="83"/>
      <c r="C5" s="83"/>
      <c r="D5" s="84"/>
    </row>
    <row r="6" spans="1:5" ht="30" customHeight="1">
      <c r="A6" s="10" t="s">
        <v>6</v>
      </c>
      <c r="B6" s="10" t="s">
        <v>7</v>
      </c>
      <c r="C6" s="10" t="s">
        <v>8</v>
      </c>
      <c r="D6" s="10">
        <v>1</v>
      </c>
    </row>
    <row r="7" spans="1:5" ht="75.75" customHeight="1">
      <c r="A7" s="11" t="s">
        <v>9</v>
      </c>
      <c r="B7" s="11" t="s">
        <v>10</v>
      </c>
      <c r="C7" s="12" t="s">
        <v>11</v>
      </c>
      <c r="D7" s="11" t="s">
        <v>49</v>
      </c>
    </row>
    <row r="8" spans="1:5">
      <c r="A8" s="3"/>
      <c r="B8" s="3"/>
      <c r="C8" s="3"/>
      <c r="D8" s="3"/>
    </row>
    <row r="9" spans="1:5">
      <c r="A9" s="85" t="s">
        <v>13</v>
      </c>
      <c r="B9" s="86"/>
      <c r="C9" s="86"/>
      <c r="D9" s="86"/>
    </row>
    <row r="10" spans="1:5" ht="57.75" customHeight="1">
      <c r="A10" s="13" t="s">
        <v>14</v>
      </c>
      <c r="B10" s="11" t="s">
        <v>15</v>
      </c>
      <c r="C10" s="11" t="s">
        <v>16</v>
      </c>
      <c r="D10" s="11">
        <f>+(12/12)*100</f>
        <v>100</v>
      </c>
    </row>
    <row r="11" spans="1:5" ht="73.5" customHeight="1">
      <c r="A11" s="11" t="s">
        <v>17</v>
      </c>
      <c r="B11" s="14" t="s">
        <v>18</v>
      </c>
      <c r="C11" s="14" t="s">
        <v>19</v>
      </c>
      <c r="D11" s="14" t="s">
        <v>20</v>
      </c>
    </row>
    <row r="12" spans="1:5">
      <c r="A12" s="71"/>
      <c r="B12" s="71"/>
      <c r="C12" s="71"/>
      <c r="D12" s="71"/>
    </row>
    <row r="13" spans="1:5">
      <c r="A13" s="86" t="s">
        <v>21</v>
      </c>
      <c r="B13" s="86"/>
      <c r="C13" s="86"/>
      <c r="D13" s="86"/>
    </row>
    <row r="14" spans="1:5" ht="49.5" customHeight="1">
      <c r="A14" s="14" t="s">
        <v>22</v>
      </c>
      <c r="B14" s="14" t="s">
        <v>23</v>
      </c>
      <c r="C14" s="13" t="s">
        <v>24</v>
      </c>
      <c r="D14" s="11">
        <f>0/0.565</f>
        <v>0</v>
      </c>
    </row>
    <row r="15" spans="1:5" ht="63.75" customHeight="1">
      <c r="A15" s="11" t="s">
        <v>25</v>
      </c>
      <c r="B15" s="11" t="s">
        <v>26</v>
      </c>
      <c r="C15" s="15" t="s">
        <v>27</v>
      </c>
      <c r="D15" s="26">
        <f>0.0055-0</f>
        <v>5.4999999999999997E-3</v>
      </c>
      <c r="E15" s="40"/>
    </row>
    <row r="16" spans="1:5" ht="51.75" customHeight="1">
      <c r="A16" s="18" t="s">
        <v>28</v>
      </c>
      <c r="B16" s="18" t="s">
        <v>29</v>
      </c>
      <c r="C16" s="25" t="s">
        <v>30</v>
      </c>
      <c r="D16" s="22">
        <f>0.04/0.062699</f>
        <v>0.63796870763489044</v>
      </c>
    </row>
    <row r="17" spans="1:4" ht="69.75" customHeight="1">
      <c r="A17" s="11" t="s">
        <v>28</v>
      </c>
      <c r="B17" s="11" t="s">
        <v>29</v>
      </c>
      <c r="C17" s="26" t="s">
        <v>31</v>
      </c>
      <c r="D17" s="23">
        <f>65980/8024472</f>
        <v>8.2223478379636686E-3</v>
      </c>
    </row>
  </sheetData>
  <mergeCells count="4">
    <mergeCell ref="A5:D5"/>
    <mergeCell ref="A9:D9"/>
    <mergeCell ref="A12:D12"/>
    <mergeCell ref="A13:D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F455A-969F-42A0-853C-92CAFD8B282C}">
  <dimension ref="A1:D17"/>
  <sheetViews>
    <sheetView topLeftCell="A7" workbookViewId="0">
      <selection activeCell="D17" sqref="D17"/>
    </sheetView>
  </sheetViews>
  <sheetFormatPr defaultRowHeight="15"/>
  <cols>
    <col min="1" max="4" width="33.5703125" customWidth="1"/>
  </cols>
  <sheetData>
    <row r="1" spans="1:4" ht="16.5">
      <c r="A1" s="9" t="s">
        <v>50</v>
      </c>
    </row>
    <row r="4" spans="1:4" ht="17.25" customHeight="1">
      <c r="A4" s="7" t="s">
        <v>1</v>
      </c>
      <c r="B4" s="7" t="s">
        <v>2</v>
      </c>
      <c r="C4" s="7" t="s">
        <v>3</v>
      </c>
      <c r="D4" s="7" t="s">
        <v>4</v>
      </c>
    </row>
    <row r="5" spans="1:4">
      <c r="A5" s="82" t="s">
        <v>5</v>
      </c>
      <c r="B5" s="83"/>
      <c r="C5" s="83"/>
      <c r="D5" s="84"/>
    </row>
    <row r="6" spans="1:4" ht="30" customHeight="1">
      <c r="A6" s="10" t="s">
        <v>6</v>
      </c>
      <c r="B6" s="10" t="s">
        <v>7</v>
      </c>
      <c r="C6" s="10" t="s">
        <v>8</v>
      </c>
      <c r="D6" s="10">
        <f>3+1</f>
        <v>4</v>
      </c>
    </row>
    <row r="7" spans="1:4" ht="75.75" customHeight="1">
      <c r="A7" s="11" t="s">
        <v>9</v>
      </c>
      <c r="B7" s="11" t="s">
        <v>10</v>
      </c>
      <c r="C7" s="12" t="s">
        <v>11</v>
      </c>
      <c r="D7" s="11" t="s">
        <v>33</v>
      </c>
    </row>
    <row r="8" spans="1:4">
      <c r="A8" s="3"/>
      <c r="B8" s="3"/>
      <c r="C8" s="3"/>
      <c r="D8" s="3"/>
    </row>
    <row r="9" spans="1:4">
      <c r="A9" s="85" t="s">
        <v>13</v>
      </c>
      <c r="B9" s="86"/>
      <c r="C9" s="86"/>
      <c r="D9" s="86"/>
    </row>
    <row r="10" spans="1:4" ht="57.75" customHeight="1">
      <c r="A10" s="13" t="s">
        <v>14</v>
      </c>
      <c r="B10" s="11" t="s">
        <v>15</v>
      </c>
      <c r="C10" s="11" t="s">
        <v>16</v>
      </c>
      <c r="D10" s="11">
        <f>+(4/4)*100</f>
        <v>100</v>
      </c>
    </row>
    <row r="11" spans="1:4" ht="73.5" customHeight="1">
      <c r="A11" s="11" t="s">
        <v>17</v>
      </c>
      <c r="B11" s="14" t="s">
        <v>18</v>
      </c>
      <c r="C11" s="14" t="s">
        <v>19</v>
      </c>
      <c r="D11" s="14" t="s">
        <v>20</v>
      </c>
    </row>
    <row r="12" spans="1:4">
      <c r="A12" s="71"/>
      <c r="B12" s="71"/>
      <c r="C12" s="71"/>
      <c r="D12" s="71"/>
    </row>
    <row r="13" spans="1:4">
      <c r="A13" s="86" t="s">
        <v>21</v>
      </c>
      <c r="B13" s="86"/>
      <c r="C13" s="86"/>
      <c r="D13" s="86"/>
    </row>
    <row r="14" spans="1:4" ht="49.5" customHeight="1">
      <c r="A14" s="14" t="s">
        <v>22</v>
      </c>
      <c r="B14" s="14" t="s">
        <v>23</v>
      </c>
      <c r="C14" s="13" t="s">
        <v>24</v>
      </c>
      <c r="D14" s="11">
        <f>1/(35/1000)</f>
        <v>28.571428571428569</v>
      </c>
    </row>
    <row r="15" spans="1:4" ht="63.75" customHeight="1">
      <c r="A15" s="11" t="s">
        <v>25</v>
      </c>
      <c r="B15" s="11" t="s">
        <v>26</v>
      </c>
      <c r="C15" s="15" t="s">
        <v>27</v>
      </c>
      <c r="D15" s="17">
        <f>2.7642601/1000</f>
        <v>2.7642601000000002E-3</v>
      </c>
    </row>
    <row r="16" spans="1:4" ht="51.75" customHeight="1">
      <c r="A16" s="18" t="s">
        <v>28</v>
      </c>
      <c r="B16" s="18" t="s">
        <v>29</v>
      </c>
      <c r="C16" s="25" t="s">
        <v>30</v>
      </c>
      <c r="D16" s="22">
        <f>0.71875/2.7642601</f>
        <v>0.26001532923765025</v>
      </c>
    </row>
    <row r="17" spans="1:4" ht="69.75" customHeight="1">
      <c r="A17" s="11" t="s">
        <v>28</v>
      </c>
      <c r="B17" s="11" t="s">
        <v>29</v>
      </c>
      <c r="C17" s="26" t="s">
        <v>31</v>
      </c>
      <c r="D17" s="23">
        <f>10608/(15.8*1024*1024)</f>
        <v>6.4028969293908225E-4</v>
      </c>
    </row>
  </sheetData>
  <mergeCells count="4">
    <mergeCell ref="A5:D5"/>
    <mergeCell ref="A9:D9"/>
    <mergeCell ref="A12:D12"/>
    <mergeCell ref="A13:D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677D4-DAC3-4D65-BEC7-BF9FC2755757}">
  <dimension ref="A1:I19"/>
  <sheetViews>
    <sheetView tabSelected="1" workbookViewId="0">
      <selection activeCell="F14" sqref="F14"/>
    </sheetView>
  </sheetViews>
  <sheetFormatPr defaultRowHeight="15"/>
  <cols>
    <col min="1" max="1" width="14" customWidth="1"/>
    <col min="2" max="2" width="79.28515625" bestFit="1" customWidth="1"/>
    <col min="3" max="3" width="19.85546875" customWidth="1"/>
    <col min="4" max="4" width="20.140625" customWidth="1"/>
    <col min="5" max="5" width="19.7109375" customWidth="1"/>
    <col min="6" max="6" width="27.7109375" customWidth="1"/>
    <col min="7" max="7" width="23.5703125" customWidth="1"/>
    <col min="8" max="8" width="20.5703125" customWidth="1"/>
    <col min="9" max="9" width="13.85546875" customWidth="1"/>
  </cols>
  <sheetData>
    <row r="1" spans="1:9" ht="16.5">
      <c r="A1" s="39" t="s">
        <v>51</v>
      </c>
      <c r="B1" s="39"/>
      <c r="C1" s="39"/>
      <c r="D1" s="3"/>
      <c r="E1" s="3"/>
      <c r="F1" s="3"/>
      <c r="G1" s="3"/>
      <c r="H1" s="3"/>
    </row>
    <row r="2" spans="1:9">
      <c r="A2" s="3"/>
      <c r="B2" s="3"/>
      <c r="C2" s="3"/>
      <c r="D2" s="3"/>
      <c r="E2" s="3"/>
      <c r="F2" s="3"/>
      <c r="G2" s="3"/>
      <c r="H2" s="3"/>
    </row>
    <row r="3" spans="1:9" ht="33.75" customHeight="1">
      <c r="A3" s="43" t="s">
        <v>52</v>
      </c>
      <c r="B3" s="44" t="s">
        <v>53</v>
      </c>
      <c r="C3" s="45" t="s">
        <v>54</v>
      </c>
      <c r="D3" s="87" t="s">
        <v>55</v>
      </c>
      <c r="E3" s="44" t="s">
        <v>56</v>
      </c>
      <c r="F3" s="44" t="s">
        <v>57</v>
      </c>
      <c r="G3" s="44" t="s">
        <v>58</v>
      </c>
      <c r="H3" s="44" t="s">
        <v>59</v>
      </c>
      <c r="I3" s="44" t="s">
        <v>60</v>
      </c>
    </row>
    <row r="4" spans="1:9">
      <c r="A4" s="46" t="s">
        <v>61</v>
      </c>
      <c r="B4" s="41" t="s">
        <v>62</v>
      </c>
      <c r="C4" s="41">
        <v>6</v>
      </c>
      <c r="D4" s="47">
        <v>6</v>
      </c>
      <c r="E4" s="48">
        <f>1/0.033</f>
        <v>30.303030303030301</v>
      </c>
      <c r="F4" s="41" t="s">
        <v>20</v>
      </c>
      <c r="G4" s="88">
        <f>58.9598341 - 58.5486366</f>
        <v>0.4111975000000001</v>
      </c>
      <c r="H4" s="58">
        <f>(356636882-353632024)/(11.571825*1000000)</f>
        <v>0.25967019031138133</v>
      </c>
      <c r="I4" s="89">
        <f>+(88.34 / 11878.4) * 100</f>
        <v>0.74370285560344829</v>
      </c>
    </row>
    <row r="5" spans="1:9">
      <c r="A5" s="46" t="s">
        <v>63</v>
      </c>
      <c r="B5" s="42" t="s">
        <v>64</v>
      </c>
      <c r="C5" s="49">
        <v>5</v>
      </c>
      <c r="D5" s="50">
        <v>3</v>
      </c>
      <c r="E5" s="54">
        <f>1/0.036</f>
        <v>27.777777777777779</v>
      </c>
      <c r="F5" s="41" t="s">
        <v>20</v>
      </c>
      <c r="G5" s="52">
        <f>0.0156-0</f>
        <v>1.5599999999999999E-2</v>
      </c>
      <c r="H5" s="51">
        <v>0.99039999999999995</v>
      </c>
      <c r="I5" s="51">
        <f>65872/8024472*100</f>
        <v>0.82088890085229271</v>
      </c>
    </row>
    <row r="6" spans="1:9">
      <c r="A6" s="46" t="s">
        <v>65</v>
      </c>
      <c r="B6" s="41" t="s">
        <v>66</v>
      </c>
      <c r="C6" s="41">
        <v>2</v>
      </c>
      <c r="D6" s="47">
        <v>3</v>
      </c>
      <c r="E6" s="55">
        <v>0</v>
      </c>
      <c r="F6" s="41" t="s">
        <v>20</v>
      </c>
      <c r="G6" s="53">
        <f>0.046508</f>
        <v>4.6508000000000001E-2</v>
      </c>
      <c r="H6" s="24">
        <f>(0.5625 / 0.5737348)</f>
        <v>0.98041813046724724</v>
      </c>
      <c r="I6" s="23">
        <f>(25924/(15.8*1024*1024))</f>
        <v>1.5647501885136471E-3</v>
      </c>
    </row>
    <row r="7" spans="1:9">
      <c r="A7" s="46" t="s">
        <v>67</v>
      </c>
      <c r="B7" s="41" t="s">
        <v>68</v>
      </c>
      <c r="C7" s="41">
        <v>4</v>
      </c>
      <c r="D7" s="47">
        <v>5</v>
      </c>
      <c r="E7" s="28">
        <f>3 / (9 / 1000)</f>
        <v>333.33333333333337</v>
      </c>
      <c r="F7" s="41" t="s">
        <v>20</v>
      </c>
      <c r="G7" s="56">
        <v>7.2049999999999996E-3</v>
      </c>
      <c r="H7" s="22">
        <f>(19.671875/19.8401091)</f>
        <v>0.99152050529802782</v>
      </c>
      <c r="I7" s="23">
        <f>(1135212/(5.1*1024*1024))</f>
        <v>0.2122789270737592</v>
      </c>
    </row>
    <row r="8" spans="1:9">
      <c r="A8" s="46" t="s">
        <v>69</v>
      </c>
      <c r="B8" s="41" t="s">
        <v>70</v>
      </c>
      <c r="C8" s="41">
        <v>4</v>
      </c>
      <c r="D8" s="47">
        <v>3</v>
      </c>
      <c r="E8" s="55">
        <v>0</v>
      </c>
      <c r="F8" s="41"/>
      <c r="G8" s="57">
        <f>49.0521851-47.9342062</f>
        <v>1.1179789000000042</v>
      </c>
      <c r="H8" s="59">
        <f>((425468508 - 420380035) / 1000000) / 11.5643888</f>
        <v>0.44001227284921446</v>
      </c>
      <c r="I8" s="89">
        <f>+(87.85 / (11.6 * 1024)) * 100</f>
        <v>0.73957772090517238</v>
      </c>
    </row>
    <row r="9" spans="1:9">
      <c r="A9" s="46" t="s">
        <v>71</v>
      </c>
      <c r="B9" s="42" t="s">
        <v>72</v>
      </c>
      <c r="C9" s="49">
        <v>9</v>
      </c>
      <c r="D9" s="50">
        <v>4</v>
      </c>
      <c r="E9" s="54">
        <f>1/0.075</f>
        <v>13.333333333333334</v>
      </c>
      <c r="F9" s="41" t="s">
        <v>20</v>
      </c>
      <c r="G9" s="52" t="s">
        <v>73</v>
      </c>
      <c r="H9" s="51">
        <v>0.7772</v>
      </c>
      <c r="I9" s="51">
        <f>65872/8024472*100</f>
        <v>0.82088890085229271</v>
      </c>
    </row>
    <row r="10" spans="1:9">
      <c r="A10" s="46" t="s">
        <v>74</v>
      </c>
      <c r="B10" s="41" t="s">
        <v>75</v>
      </c>
      <c r="C10" s="41">
        <v>2</v>
      </c>
      <c r="D10" s="47">
        <v>2</v>
      </c>
      <c r="E10" s="55">
        <v>0</v>
      </c>
      <c r="F10" s="41"/>
      <c r="G10" s="56">
        <f>5.7061315/1000</f>
        <v>5.7061314999999994E-3</v>
      </c>
      <c r="H10" s="22">
        <f>0.90625/5.7061315</f>
        <v>0.1588203847037174</v>
      </c>
      <c r="I10" s="23">
        <f>10468/(15.8*1024*1024)</f>
        <v>6.3183941418611545E-4</v>
      </c>
    </row>
    <row r="11" spans="1:9">
      <c r="A11" s="46" t="s">
        <v>76</v>
      </c>
      <c r="B11" s="41" t="s">
        <v>77</v>
      </c>
      <c r="C11" s="41">
        <v>3</v>
      </c>
      <c r="D11" s="47">
        <v>3</v>
      </c>
      <c r="E11" s="55">
        <v>0</v>
      </c>
      <c r="F11" s="41"/>
      <c r="G11" s="56">
        <f>2.6979124/1000</f>
        <v>2.6979123999999999E-3</v>
      </c>
      <c r="H11" s="22">
        <f>0.71875/2.6979124</f>
        <v>0.26640968772744439</v>
      </c>
      <c r="I11" s="23">
        <f>10604/(15.8*1024*1024)</f>
        <v>6.400482564032832E-4</v>
      </c>
    </row>
    <row r="12" spans="1:9">
      <c r="A12" s="46" t="s">
        <v>78</v>
      </c>
      <c r="B12" s="41" t="s">
        <v>79</v>
      </c>
      <c r="C12" s="41">
        <v>5</v>
      </c>
      <c r="D12" s="47">
        <v>4</v>
      </c>
      <c r="E12" s="55">
        <v>0</v>
      </c>
      <c r="F12" s="41" t="s">
        <v>20</v>
      </c>
      <c r="G12" s="18">
        <f>0.093-0</f>
        <v>9.2999999999999999E-2</v>
      </c>
      <c r="H12" s="89">
        <v>0.29459999999999997</v>
      </c>
      <c r="I12" s="89">
        <v>7.45E-3</v>
      </c>
    </row>
    <row r="13" spans="1:9">
      <c r="A13" s="46" t="s">
        <v>80</v>
      </c>
      <c r="B13" s="42" t="s">
        <v>81</v>
      </c>
      <c r="C13" s="49">
        <v>3</v>
      </c>
      <c r="D13" s="50">
        <v>1</v>
      </c>
      <c r="E13" s="54">
        <f>1/0.022</f>
        <v>45.45454545454546</v>
      </c>
      <c r="F13" s="41" t="s">
        <v>20</v>
      </c>
      <c r="G13" s="52" t="s">
        <v>82</v>
      </c>
      <c r="H13" s="51">
        <v>0.57150000000000001</v>
      </c>
      <c r="I13" s="51">
        <f>65872/8024472*100</f>
        <v>0.82088890085229271</v>
      </c>
    </row>
    <row r="14" spans="1:9">
      <c r="A14" s="46" t="s">
        <v>83</v>
      </c>
      <c r="B14" s="41" t="s">
        <v>84</v>
      </c>
      <c r="C14" s="41">
        <v>7</v>
      </c>
      <c r="D14" s="47">
        <v>9</v>
      </c>
      <c r="E14" s="55">
        <v>0</v>
      </c>
      <c r="F14" s="41">
        <v>1</v>
      </c>
      <c r="G14" s="53">
        <v>0.41</v>
      </c>
      <c r="H14" s="89">
        <v>0.23080000000000001</v>
      </c>
      <c r="I14" s="89">
        <v>7.4400000000000004E-3</v>
      </c>
    </row>
    <row r="15" spans="1:9">
      <c r="A15" s="46" t="s">
        <v>85</v>
      </c>
      <c r="B15" s="41" t="s">
        <v>86</v>
      </c>
      <c r="C15" s="41">
        <v>3</v>
      </c>
      <c r="D15" s="47">
        <v>2</v>
      </c>
      <c r="E15" s="55">
        <v>0</v>
      </c>
      <c r="F15" s="41" t="s">
        <v>20</v>
      </c>
      <c r="G15" s="90">
        <v>8.6999999999999994E-2</v>
      </c>
      <c r="H15" s="89">
        <v>9.9199999999999997E-2</v>
      </c>
      <c r="I15" s="89">
        <v>7.45E-3</v>
      </c>
    </row>
    <row r="16" spans="1:9">
      <c r="A16" s="46" t="s">
        <v>87</v>
      </c>
      <c r="B16" s="42" t="s">
        <v>88</v>
      </c>
      <c r="C16" s="49">
        <v>5</v>
      </c>
      <c r="D16" s="50">
        <v>4</v>
      </c>
      <c r="E16" s="54">
        <f>1/0.072</f>
        <v>13.888888888888889</v>
      </c>
      <c r="F16" s="41" t="s">
        <v>20</v>
      </c>
      <c r="G16" s="52" t="s">
        <v>89</v>
      </c>
      <c r="H16" s="51">
        <v>0.66100000000000003</v>
      </c>
      <c r="I16" s="51">
        <f>65872/8024472*100</f>
        <v>0.82088890085229271</v>
      </c>
    </row>
    <row r="17" spans="1:9">
      <c r="A17" s="46" t="s">
        <v>90</v>
      </c>
      <c r="B17" s="42" t="s">
        <v>91</v>
      </c>
      <c r="C17" s="49">
        <v>1</v>
      </c>
      <c r="D17" s="50">
        <v>0</v>
      </c>
      <c r="E17" s="54">
        <f>0/0.039</f>
        <v>0</v>
      </c>
      <c r="F17" s="41" t="s">
        <v>20</v>
      </c>
      <c r="G17" s="52" t="s">
        <v>73</v>
      </c>
      <c r="H17" s="51">
        <v>0.63800000000000001</v>
      </c>
      <c r="I17" s="51">
        <f>65872/8024472*100</f>
        <v>0.82088890085229271</v>
      </c>
    </row>
    <row r="18" spans="1:9">
      <c r="A18" s="46" t="s">
        <v>92</v>
      </c>
      <c r="B18" s="41" t="s">
        <v>93</v>
      </c>
      <c r="C18" s="41">
        <v>4</v>
      </c>
      <c r="D18" s="41">
        <v>4</v>
      </c>
      <c r="E18" s="28">
        <f>1/(35/1000)</f>
        <v>28.571428571428569</v>
      </c>
      <c r="F18" s="41" t="s">
        <v>20</v>
      </c>
      <c r="G18" s="56">
        <f>2.7642601/1000</f>
        <v>2.7642601000000002E-3</v>
      </c>
      <c r="H18" s="22">
        <f>0.71875/2.7642601</f>
        <v>0.26001532923765025</v>
      </c>
      <c r="I18" s="23">
        <f>10608/(15.8*1024*1024)</f>
        <v>6.4028969293908225E-4</v>
      </c>
    </row>
    <row r="19" spans="1:9">
      <c r="C19" s="60">
        <f>AVERAGE(C4:C18)</f>
        <v>4.2</v>
      </c>
      <c r="D19" s="60">
        <f>AVERAGE(D4:D18)</f>
        <v>3.5333333333333332</v>
      </c>
      <c r="E19" s="61">
        <f>AVERAGE(E4:E18)</f>
        <v>32.844155844155843</v>
      </c>
      <c r="F19" s="60"/>
      <c r="G19" s="63">
        <f>AVERAGE(G4:G18)</f>
        <v>0.1999688821818186</v>
      </c>
      <c r="H19" s="62">
        <f>AVERAGE(H4:H18)</f>
        <v>0.50797110003964563</v>
      </c>
      <c r="I19" s="62">
        <f>AVERAGE(I4:I18)</f>
        <v>0.38838806235972562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2026-08-24T04:59:40Z</dcterms:created>
  <dcterms:modified xsi:type="dcterms:W3CDTF">2026-10-26T22:50:44Z</dcterms:modified>
  <cp:category/>
  <cp:contentStatus/>
</cp:coreProperties>
</file>